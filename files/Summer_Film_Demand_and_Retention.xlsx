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9b5956719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m insights" sheetId="1" r:id="Rd60074ab76844849"/>
    <x:sheet xmlns:r="http://schemas.openxmlformats.org/officeDocument/2006/relationships" name="Weekends" sheetId="2" r:id="Rc93aac196e8649d8"/>
    <x:sheet xmlns:r="http://schemas.openxmlformats.org/officeDocument/2006/relationships" name="YouTube snapshots" sheetId="3" r:id="R4022218be5cc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m/dd/yy"/>
    <x:numFmt numFmtId="201" formatCode="#,##0"/>
    <x:numFmt numFmtId="202" formatCode="$#,##0"/>
    <x:numFmt numFmtId="203" formatCode="0%"/>
    <x:numFmt numFmtId="204" formatCode="0.0%"/>
    <x:numFmt numFmtId="205" formatCode="$0.0,,&quot;M&quot;"/>
    <x:numFmt numFmtId="206" formatCode="+0.0%;-0.0%;0.0%"/>
    <x:numFmt numFmtId="207" formatCode="mmm d, yyyy"/>
    <x:numFmt numFmtId="208" formatCode="0.0,,&quot;M&quot;"/>
  </x:numFmts>
  <x:fonts count="14">
    <x:font>
      <x:sz val="11"/>
      <x:name val="Carlito"/>
    </x:font>
    <x:font>
      <x:sz val="10"/>
      <x:color rgb="FF152439"/>
      <x:name val="Arial"/>
    </x:font>
    <x:font>
      <x:b/>
      <x:sz val="16"/>
      <x:color rgb="FF152439"/>
      <x:name val="Arial"/>
    </x:font>
    <x:font>
      <x:i/>
      <x:sz val="10"/>
      <x:color rgb="FF57677A"/>
      <x:name val="Arial"/>
    </x:font>
    <x:font>
      <x:b/>
      <x:sz val="14"/>
      <x:color rgb="FF152439"/>
      <x:name val="Arial"/>
    </x:font>
    <x:font>
      <x:b/>
      <x:sz val="10"/>
      <x:color rgb="FFFFFFFF"/>
      <x:name val="Arial"/>
    </x:font>
    <x:font>
      <x:b/>
      <x:sz val="12"/>
      <x:color rgb="FF152439"/>
      <x:name val="Arial"/>
    </x:font>
    <x:font>
      <x:sz val="10"/>
      <x:color rgb="FF57677A"/>
      <x:name val="Arial"/>
    </x:font>
    <x:font>
      <x:b/>
      <x:sz val="16"/>
      <x:color rgb="FF226B92"/>
      <x:name val="Arial"/>
    </x:font>
    <x:font>
      <x:b/>
      <x:sz val="10"/>
      <x:color rgb="FF152439"/>
      <x:name val="Arial"/>
    </x:font>
    <x:font>
      <x:sz val="11"/>
      <x:color rgb="FF152439"/>
      <x:name val="Arial"/>
    </x:font>
    <x:font>
      <x:sz val="16"/>
      <x:color rgb="FF152439"/>
      <x:name val="Arial"/>
    </x:font>
    <x:font>
      <x:sz val="11"/>
      <x:color rgb="FF57677A"/>
      <x:name val="Arial"/>
    </x:font>
    <x:font>
      <x:sz val="12"/>
      <x:color rgb="FF15243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2439"/>
      </x:patternFill>
    </x:fill>
    <x:fill>
      <x:patternFill patternType="solid">
        <x:fgColor rgb="FFEDF2F7"/>
      </x:patternFill>
    </x:fill>
    <x:fill>
      <x:patternFill patternType="solid">
        <x:fgColor rgb="FF15243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7D3DF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5" fontId="1" fillId="0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204" fontId="1" fillId="0" borderId="1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7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horizontal="right" vertical="center"/>
    </x:xf>
    <x:xf numFmtId="207" fontId="1" fillId="0" borderId="1" xfId="0" applyNumberFormat="1" applyFont="1" applyFill="1" applyBorder="1" applyAlignment="1">
      <x:alignment horizontal="right" vertical="center"/>
    </x:xf>
    <x:xf numFmtId="208" fontId="7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b470c1d2d48cb" /><Relationship Type="http://schemas.openxmlformats.org/officeDocument/2006/relationships/theme" Target="/xl/theme/theme1.xml" Id="R28c7e53468f64bce" /><Relationship Type="http://schemas.openxmlformats.org/officeDocument/2006/relationships/sharedStrings" Target="/xl/sharedStrings.xml" Id="R9d8e685baedd4fac" /><Relationship Type="http://schemas.openxmlformats.org/officeDocument/2006/relationships/worksheet" Target="/xl/worksheets/sheet1.xml" Id="Rd60074ab76844849" /><Relationship Type="http://schemas.openxmlformats.org/officeDocument/2006/relationships/worksheet" Target="/xl/worksheets/sheet2.xml" Id="Rc93aac196e8649d8" /><Relationship Type="http://schemas.openxmlformats.org/officeDocument/2006/relationships/worksheet" Target="/xl/worksheets/sheet3.xml" Id="R4022218be5cc4b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284d1a089143e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2b571b9af0c4a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Per-theater revenue retained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Elio</c:v>
          </c:tx>
          <c:spPr>
            <a:ln xmlns:a="http://schemas.openxmlformats.org/drawingml/2006/main" w="19050">
              <a:solidFill>
                <a:srgbClr val="226B92"/>
              </a:solidFill>
              <a:prstDash val="solid"/>
            </a:ln>
          </c:spPr>
          <c:marker>
            <c:symbol val="none"/>
          </c:marker>
          <c:cat>
            <c:strRef>
              <c:f>'Film insights'!$J$12:$J$15</c:f>
              <c:strCache>
                <c:ptCount val="0"/>
              </c:strCache>
            </c:strRef>
          </c:cat>
          <c:val>
            <c:numRef>
              <c:f>'Film insights'!$K$12:$K$15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28 Years Later</c:v>
          </c:tx>
          <c:spPr>
            <a:ln xmlns:a="http://schemas.openxmlformats.org/drawingml/2006/main" w="19050">
              <a:solidFill>
                <a:srgbClr val="A3580B"/>
              </a:solidFill>
              <a:prstDash val="solid"/>
            </a:ln>
          </c:spPr>
          <c:marker>
            <c:symbol val="none"/>
          </c:marker>
          <c:cat>
            <c:strRef>
              <c:f>'Film insights'!$J$12:$J$15</c:f>
              <c:strCache>
                <c:ptCount val="0"/>
              </c:strCache>
            </c:strRef>
          </c:cat>
          <c:val>
            <c:numRef>
              <c:f>'Film insights'!$L$12:$L$15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0.25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Reported cumulative trailer views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Reported views</c:v>
          </c:tx>
          <c:cat>
            <c:strRef>
              <c:f>'YouTube snapshots'!$H$10:$H$11</c:f>
              <c:strCache>
                <c:ptCount val="0"/>
              </c:strCache>
            </c:strRef>
          </c:cat>
          <c:val>
            <c:numRef>
              <c:f>'YouTube snapshots'!$I$10:$I$11</c:f>
              <c:numCache>
                <c:formatCode>0.0,,"M"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400000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10000000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284d1a089143e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17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b571b9af0c4a5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1caa2aa45a4c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3f46b159b254270" /></Relationships>
</file>

<file path=xl/worksheets/sheet1.xml><?xml version="1.0" encoding="utf-8"?>
<x:worksheet xmlns:x="http://schemas.openxmlformats.org/spreadsheetml/2006/main">
  <x:sheetPr>
    <x:tabColor rgb="FF152439"/>
  </x:sheetPr>
  <x:sheetViews>
    <x:sheetView showGridLines="0" workbookViewId="0"/>
  </x:sheetViews>
  <x:sheetFormatPr defaultRowHeight="15"/>
  <x:cols>
    <x:col min="1" max="1" width="3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2" ht="30" customHeight="1">
      <x:c r="B2" s="3" t="str">
        <x:v>Summer Film Demand and Retention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</x:row>
    <x:row r="4" ht="24" customHeight="1">
      <x:c r="B4" s="5" t="str">
        <x:v>Case study of five June 2025 releases. Four domestic weekends each. USD.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4" customHeight="1">
      <x:c r="B6" s="29" t="str">
        <x:v>Elio vs. 28 Years Later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6" customHeight="1">
      <x:c r="B7" s="2"/>
      <x:c r="C7" s="31" t="str">
        <x:v>Opening gross difference</x:v>
      </x:c>
      <x:c r="D7" s="31" t="str">
        <x:v>Week 4 gross difference</x:v>
      </x:c>
      <x:c r="E7" s="31" t="str">
        <x:v>Week 4 avg difference</x:v>
      </x:c>
      <x:c r="F7" s="2"/>
      <x:c r="G7" s="2"/>
      <x:c r="H7" s="2"/>
      <x:c r="I7" s="2"/>
      <x:c r="J7" s="2"/>
      <x:c r="K7" s="2"/>
      <x:c r="L7" s="2"/>
      <x:c r="M7" s="2"/>
    </x:row>
    <x:row r="8" ht="32" customHeight="1">
      <x:c r="B8" s="2"/>
      <x:c r="C8" s="33" t="n">
        <x:f>C13/C12-1</x:f>
        <x:v>-0.3053797747862661</x:v>
      </x:c>
      <x:c r="D8" s="33" t="n">
        <x:f>D13/D12-1</x:f>
        <x:v>0.46160516727417167</x:v>
      </x:c>
      <x:c r="E8" s="33" t="n">
        <x:f>F13/F12-1</x:f>
        <x:v>0.18213341001515415</x:v>
      </x:c>
      <x:c r="F8" s="2"/>
      <x:c r="G8" s="2"/>
      <x:c r="H8" s="2"/>
      <x:c r="I8" s="2"/>
      <x:c r="J8" s="2"/>
      <x:c r="K8" s="2"/>
      <x:c r="L8" s="2"/>
      <x:c r="M8" s="2"/>
    </x:row>
    <x:row r="9" ht="24" customHeight="1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4" customHeight="1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36" customHeight="1">
      <x:c r="B11" s="10" t="str">
        <x:v>Film</x:v>
      </x:c>
      <x:c r="C11" s="10" t="str">
        <x:v>Opening gross</x:v>
      </x:c>
      <x:c r="D11" s="10" t="str">
        <x:v>Week 4 gross</x:v>
      </x:c>
      <x:c r="E11" s="10" t="str">
        <x:v>Week 4 theaters</x:v>
      </x:c>
      <x:c r="F11" s="10" t="str">
        <x:v>Week 4 avg</x:v>
      </x:c>
      <x:c r="G11" s="10" t="str">
        <x:v>Gross retained</x:v>
      </x:c>
      <x:c r="H11" s="10" t="str">
        <x:v>Avg retained</x:v>
      </x:c>
      <x:c r="I11" s="2"/>
      <x:c r="J11" s="37" t="str">
        <x:v>Weekend</x:v>
      </x:c>
      <x:c r="K11" s="37" t="str">
        <x:v>Elio</x:v>
      </x:c>
      <x:c r="L11" s="37" t="str">
        <x:v>28 Years Later</x:v>
      </x:c>
      <x:c r="M11" s="2"/>
    </x:row>
    <x:row r="12" ht="28" customHeight="1">
      <x:c r="B12" s="2" t="str">
        <x:v>28 Years Later</x:v>
      </x:c>
      <x:c r="C12" s="24" t="n">
        <x:f>SUMIFS('Weekends'!$D$6:$D$25,'Weekends'!$A$6:$A$25,$B12,'Weekends'!$C$6:$C$25,1)</x:f>
        <x:v>30002966</x:v>
      </x:c>
      <x:c r="D12" s="24" t="n">
        <x:f>SUMIFS('Weekends'!$D$6:$D$25,'Weekends'!$A$6:$A$25,$B12,'Weekends'!$C$6:$C$25,4)</x:f>
        <x:v>2761843</x:v>
      </x:c>
      <x:c r="E12" s="17" t="n">
        <x:f>SUMIFS('Weekends'!$E$6:$E$25,'Weekends'!$A$6:$A$25,$B12,'Weekends'!$C$6:$C$25,4)</x:f>
        <x:v>2208</x:v>
      </x:c>
      <x:c r="F12" s="18" t="n">
        <x:f>SUMIFS('Weekends'!$I$6:$I$25,'Weekends'!$A$6:$A$25,$B12,'Weekends'!$C$6:$C$25,4)</x:f>
        <x:v>1250.8346920289855</x:v>
      </x:c>
      <x:c r="G12" s="21" t="n">
        <x:f>SUMIFS('Weekends'!$J$6:$J$25,'Weekends'!$A$6:$A$25,$B12,'Weekends'!$C$6:$C$25,4)</x:f>
        <x:v>0.09205233242606747</x:v>
      </x:c>
      <x:c r="H12" s="21" t="n">
        <x:f>SUMIFS('Weekends'!$L$6:$L$25,'Weekends'!$A$6:$A$25,$B12,'Weekends'!$C$6:$C$25,4)</x:f>
        <x:v>0.1435816272080509</x:v>
      </x:c>
      <x:c r="I12" s="2"/>
      <x:c r="J12" s="2" t="str">
        <x:v>Week 1</x:v>
      </x:c>
      <x:c r="K12" s="15" t="n">
        <x:f>SUMIFS('Weekends'!$L$6:$L$25,'Weekends'!$A$6:$A$25,K$11,'Weekends'!$C$6:$C$25,1)</x:f>
        <x:v>1</x:v>
      </x:c>
      <x:c r="L12" s="15" t="n">
        <x:f>SUMIFS('Weekends'!$L$6:$L$25,'Weekends'!$A$6:$A$25,L$11,'Weekends'!$C$6:$C$25,1)</x:f>
        <x:v>1</x:v>
      </x:c>
      <x:c r="M12" s="2"/>
    </x:row>
    <x:row r="13" ht="28" customHeight="1">
      <x:c r="B13" s="2" t="str">
        <x:v>Elio</x:v>
      </x:c>
      <x:c r="C13" s="24" t="n">
        <x:f>SUMIFS('Weekends'!$D$6:$D$25,'Weekends'!$A$6:$A$25,$B13,'Weekends'!$C$6:$C$25,1)</x:f>
        <x:v>20840667</x:v>
      </x:c>
      <x:c r="D13" s="24" t="n">
        <x:f>SUMIFS('Weekends'!$D$6:$D$25,'Weekends'!$A$6:$A$25,$B13,'Weekends'!$C$6:$C$25,4)</x:f>
        <x:v>4036724</x:v>
      </x:c>
      <x:c r="E13" s="17" t="n">
        <x:f>SUMIFS('Weekends'!$E$6:$E$25,'Weekends'!$A$6:$A$25,$B13,'Weekends'!$C$6:$C$25,4)</x:f>
        <x:v>2730</x:v>
      </x:c>
      <x:c r="F13" s="18" t="n">
        <x:f>SUMIFS('Weekends'!$I$6:$I$25,'Weekends'!$A$6:$A$25,$B13,'Weekends'!$C$6:$C$25,4)</x:f>
        <x:v>1478.65347985348</x:v>
      </x:c>
      <x:c r="G13" s="21" t="n">
        <x:f>SUMIFS('Weekends'!$J$6:$J$25,'Weekends'!$A$6:$A$25,$B13,'Weekends'!$C$6:$C$25,4)</x:f>
        <x:v>0.1936945684128056</x:v>
      </x:c>
      <x:c r="H13" s="21" t="n">
        <x:f>SUMIFS('Weekends'!$L$6:$L$25,'Weekends'!$A$6:$A$25,$B13,'Weekends'!$C$6:$C$25,4)</x:f>
        <x:v>0.2660639676000077</x:v>
      </x:c>
      <x:c r="I13" s="2"/>
      <x:c r="J13" s="2" t="str">
        <x:v>Week 2</x:v>
      </x:c>
      <x:c r="K13" s="15" t="n">
        <x:f>SUMIFS('Weekends'!$L$6:$L$25,'Weekends'!$A$6:$A$25,K$11,'Weekends'!$C$6:$C$25,2)</x:f>
        <x:v>0.5004931464045752</x:v>
      </x:c>
      <x:c r="L13" s="15" t="n">
        <x:f>SUMIFS('Weekends'!$L$6:$L$25,'Weekends'!$A$6:$A$25,L$11,'Weekends'!$C$6:$C$25,2)</x:f>
        <x:v>0.32506909483549057</x:v>
      </x:c>
      <x:c r="M13" s="2"/>
    </x:row>
    <x:row r="14" ht="28" customHeight="1">
      <x:c r="B14" s="2" t="str">
        <x:v>F1: The Movie</x:v>
      </x:c>
      <x:c r="C14" s="24" t="n">
        <x:f>SUMIFS('Weekends'!$D$6:$D$25,'Weekends'!$A$6:$A$25,$B14,'Weekends'!$C$6:$C$25,1)</x:f>
        <x:v>57001667</x:v>
      </x:c>
      <x:c r="D14" s="24" t="n">
        <x:f>SUMIFS('Weekends'!$D$6:$D$25,'Weekends'!$A$6:$A$25,$B14,'Weekends'!$C$6:$C$25,4)</x:f>
        <x:v>9877061</x:v>
      </x:c>
      <x:c r="E14" s="17" t="n">
        <x:f>SUMIFS('Weekends'!$E$6:$E$25,'Weekends'!$A$6:$A$25,$B14,'Weekends'!$C$6:$C$25,4)</x:f>
        <x:v>3094</x:v>
      </x:c>
      <x:c r="F14" s="18" t="n">
        <x:f>SUMIFS('Weekends'!$I$6:$I$25,'Weekends'!$A$6:$A$25,$B14,'Weekends'!$C$6:$C$25,4)</x:f>
        <x:v>3192.3274078862314</x:v>
      </x:c>
      <x:c r="G14" s="21" t="n">
        <x:f>SUMIFS('Weekends'!$J$6:$J$25,'Weekends'!$A$6:$A$25,$B14,'Weekends'!$C$6:$C$25,4)</x:f>
        <x:v>0.17327670434620798</x:v>
      </x:c>
      <x:c r="H14" s="21" t="n">
        <x:f>SUMIFS('Weekends'!$L$6:$L$25,'Weekends'!$A$6:$A$25,$B14,'Weekends'!$C$6:$C$25,4)</x:f>
        <x:v>0.2050310325182506</x:v>
      </x:c>
      <x:c r="I14" s="2"/>
      <x:c r="J14" s="2" t="str">
        <x:v>Week 3</x:v>
      </x:c>
      <x:c r="K14" s="15" t="n">
        <x:f>SUMIFS('Weekends'!$L$6:$L$25,'Weekends'!$A$6:$A$25,K$11,'Weekends'!$C$6:$C$25,3)</x:f>
        <x:v>0.3219179193089499</x:v>
      </x:c>
      <x:c r="L14" s="15" t="n">
        <x:f>SUMIFS('Weekends'!$L$6:$L$25,'Weekends'!$A$6:$A$25,L$11,'Weekends'!$C$6:$C$25,3)</x:f>
        <x:v>0.17972113222208178</x:v>
      </x:c>
      <x:c r="M14" s="2"/>
    </x:row>
    <x:row r="15" ht="36" customHeight="1">
      <x:c r="B15" s="22" t="str">
        <x:v>How to Train Your Dragon</x:v>
      </x:c>
      <x:c r="C15" s="24" t="n">
        <x:f>SUMIFS('Weekends'!$D$6:$D$25,'Weekends'!$A$6:$A$25,$B15,'Weekends'!$C$6:$C$25,1)</x:f>
        <x:v>84633315</x:v>
      </x:c>
      <x:c r="D15" s="24" t="n">
        <x:f>SUMIFS('Weekends'!$D$6:$D$25,'Weekends'!$A$6:$A$25,$B15,'Weekends'!$C$6:$C$25,4)</x:f>
        <x:v>11248765</x:v>
      </x:c>
      <x:c r="E15" s="17" t="n">
        <x:f>SUMIFS('Weekends'!$E$6:$E$25,'Weekends'!$A$6:$A$25,$B15,'Weekends'!$C$6:$C$25,4)</x:f>
        <x:v>3714</x:v>
      </x:c>
      <x:c r="F15" s="18" t="n">
        <x:f>SUMIFS('Weekends'!$I$6:$I$25,'Weekends'!$A$6:$A$25,$B15,'Weekends'!$C$6:$C$25,4)</x:f>
        <x:v>3028.746634356489</x:v>
      </x:c>
      <x:c r="G15" s="21" t="n">
        <x:f>SUMIFS('Weekends'!$J$6:$J$25,'Weekends'!$A$6:$A$25,$B15,'Weekends'!$C$6:$C$25,4)</x:f>
        <x:v>0.13291178538853168</x:v>
      </x:c>
      <x:c r="H15" s="21" t="n">
        <x:f>SUMIFS('Weekends'!$L$6:$L$25,'Weekends'!$A$6:$A$25,$B15,'Weekends'!$C$6:$C$25,4)</x:f>
        <x:v>0.15588684360593538</x:v>
      </x:c>
      <x:c r="I15" s="2"/>
      <x:c r="J15" s="2" t="str">
        <x:v>Week 4</x:v>
      </x:c>
      <x:c r="K15" s="15" t="n">
        <x:f>SUMIFS('Weekends'!$L$6:$L$25,'Weekends'!$A$6:$A$25,K$11,'Weekends'!$C$6:$C$25,4)</x:f>
        <x:v>0.2660639676000077</x:v>
      </x:c>
      <x:c r="L15" s="15" t="n">
        <x:f>SUMIFS('Weekends'!$L$6:$L$25,'Weekends'!$A$6:$A$25,L$11,'Weekends'!$C$6:$C$25,4)</x:f>
        <x:v>0.1435816272080509</x:v>
      </x:c>
      <x:c r="M15" s="2"/>
    </x:row>
    <x:row r="16" ht="28" customHeight="1">
      <x:c r="B16" s="4" t="str">
        <x:v>M3GAN 2.0</x:v>
      </x:c>
      <x:c r="C16" s="25" t="n">
        <x:f>SUMIFS('Weekends'!$D$6:$D$25,'Weekends'!$A$6:$A$25,$B16,'Weekends'!$C$6:$C$25,1)</x:f>
        <x:v>10201625</x:v>
      </x:c>
      <x:c r="D16" s="25" t="n">
        <x:f>SUMIFS('Weekends'!$D$6:$D$25,'Weekends'!$A$6:$A$25,$B16,'Weekends'!$C$6:$C$25,4)</x:f>
        <x:v>497040</x:v>
      </x:c>
      <x:c r="E16" s="26" t="n">
        <x:f>SUMIFS('Weekends'!$E$6:$E$25,'Weekends'!$A$6:$A$25,$B16,'Weekends'!$C$6:$C$25,4)</x:f>
        <x:v>712</x:v>
      </x:c>
      <x:c r="F16" s="27" t="n">
        <x:f>SUMIFS('Weekends'!$I$6:$I$25,'Weekends'!$A$6:$A$25,$B16,'Weekends'!$C$6:$C$25,4)</x:f>
        <x:v>698.0898876404494</x:v>
      </x:c>
      <x:c r="G16" s="28" t="n">
        <x:f>SUMIFS('Weekends'!$J$6:$J$25,'Weekends'!$A$6:$A$25,$B16,'Weekends'!$C$6:$C$25,4)</x:f>
        <x:v>0.04872164973717422</x:v>
      </x:c>
      <x:c r="H16" s="28" t="n">
        <x:f>SUMIFS('Weekends'!$L$6:$L$25,'Weekends'!$A$6:$A$25,$B16,'Weekends'!$C$6:$C$25,4)</x:f>
        <x:v>0.21295192975012103</x:v>
      </x:c>
      <x:c r="I16" s="2"/>
      <x:c r="J16" s="2"/>
      <x:c r="K16" s="2"/>
      <x:c r="L16" s="2"/>
      <x:c r="M16" s="2"/>
    </x:row>
    <x:row r="17" ht="24" customHeight="1">
      <x:c r="B17" s="5" t="str">
        <x:v>Retained = week 4 ÷ opening weekend. Avg = gross ÷ theaters.</x:v>
      </x:c>
      <x:c r="C17" s="2"/>
      <x:c r="D17" s="2"/>
      <x:c r="E17" s="2"/>
      <x:c r="F17" s="2"/>
      <x:c r="G17" s="2"/>
      <x:c r="H17" s="2"/>
      <x:c r="I17" s="2"/>
      <x:c r="J17" s="5" t="str">
        <x:v>Per-theater revenue retained</x:v>
      </x:c>
      <x:c r="K17" s="2"/>
      <x:c r="L17" s="2"/>
      <x:c r="M17" s="2"/>
    </x:row>
    <x:row r="18" ht="24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B20" s="2"/>
      <x:c r="C20" s="2"/>
      <x:c r="D20" s="2"/>
      <x:c r="E20" s="2"/>
      <x:c r="F20" s="2"/>
      <x:c r="G20" s="2"/>
      <x:c r="H20" s="2"/>
      <x:c r="I20" s="2"/>
      <x:c r="J20" s="29" t="str">
        <x:v>Client implication</x:v>
      </x:c>
      <x:c r="K20" s="2"/>
      <x:c r="L20" s="2"/>
      <x:c r="M20" s="2"/>
    </x:row>
    <x:row r="21" ht="24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B22" s="2"/>
      <x:c r="C22" s="2"/>
      <x:c r="D22" s="2"/>
      <x:c r="E22" s="2"/>
      <x:c r="F22" s="2"/>
      <x:c r="G22" s="2"/>
      <x:c r="H22" s="2"/>
      <x:c r="I22" s="2"/>
      <x:c r="J22" s="40" t="str">
        <x:v>Include opening size and week-four retention together in an agent’s client pitch. Elio shows why opening size alone gives an incomplete picture.</x:v>
      </x:c>
      <x:c r="K22" s="40" t="str">
        <x:v>Review continued publicity using opening size and later revenue per theater. Elio shows why a smaller opening can merit attention.</x:v>
      </x:c>
      <x:c r="L22" s="40" t="str">
        <x:v>Review continued publicity using opening size and later revenue per theater. Elio shows why a smaller opening can merit attention.</x:v>
      </x:c>
      <x:c r="M22" s="40" t="str">
        <x:v>Review continued publicity using opening size and later revenue per theater. Elio shows why a smaller opening can merit attention.</x:v>
      </x:c>
    </x:row>
    <x:row r="23" ht="24" customHeight="1">
      <x:c r="B23" s="2"/>
      <x:c r="C23" s="2"/>
      <x:c r="D23" s="2"/>
      <x:c r="E23" s="2"/>
      <x:c r="F23" s="2"/>
      <x:c r="G23" s="2"/>
      <x:c r="H23" s="2"/>
      <x:c r="I23" s="2"/>
      <x:c r="J23" s="40" t="str">
        <x:v>Review continued publicity using opening size and later revenue per theater. Elio shows why a smaller opening can merit attention.</x:v>
      </x:c>
      <x:c r="K23" s="40" t="str">
        <x:v>Review continued publicity using opening size and later revenue per theater. Elio shows why a smaller opening can merit attention.</x:v>
      </x:c>
      <x:c r="L23" s="40" t="str">
        <x:v>Review continued publicity using opening size and later revenue per theater. Elio shows why a smaller opening can merit attention.</x:v>
      </x:c>
      <x:c r="M23" s="40" t="str">
        <x:v>Review continued publicity using opening size and later revenue per theater. Elio shows why a smaller opening can merit attention.</x:v>
      </x:c>
    </x:row>
    <x:row r="24" ht="24" customHeight="1">
      <x:c r="B24" s="2"/>
      <x:c r="C24" s="2"/>
      <x:c r="D24" s="2"/>
      <x:c r="E24" s="2"/>
      <x:c r="F24" s="2"/>
      <x:c r="G24" s="2"/>
      <x:c r="H24" s="2"/>
      <x:c r="I24" s="2"/>
      <x:c r="J24" s="40" t="str">
        <x:v>Review continued publicity using opening size and later revenue per theater. Elio shows why a smaller opening can merit attention.</x:v>
      </x:c>
      <x:c r="K24" s="40" t="str">
        <x:v>Review continued publicity using opening size and later revenue per theater. Elio shows why a smaller opening can merit attention.</x:v>
      </x:c>
      <x:c r="L24" s="40" t="str">
        <x:v>Review continued publicity using opening size and later revenue per theater. Elio shows why a smaller opening can merit attention.</x:v>
      </x:c>
      <x:c r="M24" s="40" t="str">
        <x:v>Review continued publicity using opening size and later revenue per theater. Elio shows why a smaller opening can merit attention.</x:v>
      </x:c>
    </x:row>
    <x:row r="25" ht="24" customHeight="1">
      <x:c r="B25" s="2"/>
      <x:c r="C25" s="2"/>
      <x:c r="D25" s="2"/>
      <x:c r="E25" s="2"/>
      <x:c r="F25" s="2"/>
      <x:c r="G25" s="2"/>
      <x:c r="H25" s="2"/>
      <x:c r="I25" s="2"/>
      <x:c r="J25" s="40" t="str">
        <x:v>Review continued publicity using opening size and later revenue per theater. Elio shows why a smaller opening can merit attention.</x:v>
      </x:c>
      <x:c r="K25" s="40" t="str">
        <x:v>Review continued publicity using opening size and later revenue per theater. Elio shows why a smaller opening can merit attention.</x:v>
      </x:c>
      <x:c r="L25" s="40" t="str">
        <x:v>Review continued publicity using opening size and later revenue per theater. Elio shows why a smaller opening can merit attention.</x:v>
      </x:c>
      <x:c r="M25" s="40" t="str">
        <x:v>Review continued publicity using opening size and later revenue per theater. Elio shows why a smaller opening can merit attention.</x:v>
      </x:c>
    </x:row>
    <x:row r="26" ht="24" customHeight="1">
      <x:c r="B26" s="2"/>
      <x:c r="C26" s="2"/>
      <x:c r="D26" s="2"/>
      <x:c r="E26" s="2"/>
      <x:c r="F26" s="2"/>
      <x:c r="G26" s="2"/>
      <x:c r="H26" s="2"/>
      <x:c r="I26" s="2"/>
      <x:c r="J26" s="40" t="str">
        <x:v>Review continued publicity using opening size and later revenue per theater. Elio shows why a smaller opening can merit attention.</x:v>
      </x:c>
      <x:c r="K26" s="40" t="str">
        <x:v>Review continued publicity using opening size and later revenue per theater. Elio shows why a smaller opening can merit attention.</x:v>
      </x:c>
      <x:c r="L26" s="40" t="str">
        <x:v>Review continued publicity using opening size and later revenue per theater. Elio shows why a smaller opening can merit attention.</x:v>
      </x:c>
      <x:c r="M26" s="40" t="str">
        <x:v>Review continued publicity using opening size and later revenue per theater. Elio shows why a smaller opening can merit attention.</x:v>
      </x:c>
    </x:row>
    <x:row r="27" ht="24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" customHeight="1">
      <x:c r="B28" s="2"/>
      <x:c r="C28" s="2"/>
      <x:c r="D28" s="2"/>
      <x:c r="E28" s="2"/>
      <x:c r="F28" s="2"/>
      <x:c r="G28" s="2"/>
      <x:c r="H28" s="2"/>
      <x:c r="I28" s="2"/>
      <x:c r="J28" s="40" t="str">
        <x:v>The YouTube snapshots tab adds two official trailer counts. Request recent organic viewing and audience overlap before brand or creator outreach.</x:v>
      </x:c>
      <x:c r="K28" s="40" t="str">
        <x:v>Use audience demographics and social interest to assess a brand or creator partnership. Box office does not establish audience affinity.</x:v>
      </x:c>
      <x:c r="L28" s="40" t="str">
        <x:v>Use audience demographics and social interest to assess a brand or creator partnership. Box office does not establish audience affinity.</x:v>
      </x:c>
      <x:c r="M28" s="40" t="str">
        <x:v>Use audience demographics and social interest to assess a brand or creator partnership. Box office does not establish audience affinity.</x:v>
      </x:c>
    </x:row>
    <x:row r="29" ht="24" customHeight="1">
      <x:c r="B29" s="2"/>
      <x:c r="C29" s="2"/>
      <x:c r="D29" s="2"/>
      <x:c r="E29" s="2"/>
      <x:c r="F29" s="2"/>
      <x:c r="G29" s="2"/>
      <x:c r="H29" s="2"/>
      <x:c r="I29" s="2"/>
      <x:c r="J29" s="40" t="str">
        <x:v>Use audience demographics and social interest to assess a brand or creator partnership. Box office does not establish audience affinity.</x:v>
      </x:c>
      <x:c r="K29" s="40" t="str">
        <x:v>Use audience demographics and social interest to assess a brand or creator partnership. Box office does not establish audience affinity.</x:v>
      </x:c>
      <x:c r="L29" s="40" t="str">
        <x:v>Use audience demographics and social interest to assess a brand or creator partnership. Box office does not establish audience affinity.</x:v>
      </x:c>
      <x:c r="M29" s="40" t="str">
        <x:v>Use audience demographics and social interest to assess a brand or creator partnership. Box office does not establish audience affinity.</x:v>
      </x:c>
    </x:row>
    <x:row r="30" ht="24" customHeight="1">
      <x:c r="B30" s="2"/>
      <x:c r="C30" s="2"/>
      <x:c r="D30" s="2"/>
      <x:c r="E30" s="2"/>
      <x:c r="F30" s="2"/>
      <x:c r="G30" s="2"/>
      <x:c r="H30" s="2"/>
      <x:c r="I30" s="2"/>
      <x:c r="J30" s="40" t="str">
        <x:v>Use audience demographics and social interest to assess a brand or creator partnership. Box office does not establish audience affinity.</x:v>
      </x:c>
      <x:c r="K30" s="40" t="str">
        <x:v>Use audience demographics and social interest to assess a brand or creator partnership. Box office does not establish audience affinity.</x:v>
      </x:c>
      <x:c r="L30" s="40" t="str">
        <x:v>Use audience demographics and social interest to assess a brand or creator partnership. Box office does not establish audience affinity.</x:v>
      </x:c>
      <x:c r="M30" s="40" t="str">
        <x:v>Use audience demographics and social interest to assess a brand or creator partnership. Box office does not establish audience affinity.</x:v>
      </x:c>
    </x:row>
    <x:row r="31" ht="24" customHeight="1">
      <x:c r="B31" s="2"/>
      <x:c r="C31" s="2"/>
      <x:c r="D31" s="2"/>
      <x:c r="E31" s="2"/>
      <x:c r="F31" s="2"/>
      <x:c r="G31" s="2"/>
      <x:c r="H31" s="2"/>
      <x:c r="I31" s="2"/>
      <x:c r="J31" s="40" t="str">
        <x:v>Use audience demographics and social interest to assess a brand or creator partnership. Box office does not establish audience affinity.</x:v>
      </x:c>
      <x:c r="K31" s="40" t="str">
        <x:v>Use audience demographics and social interest to assess a brand or creator partnership. Box office does not establish audience affinity.</x:v>
      </x:c>
      <x:c r="L31" s="40" t="str">
        <x:v>Use audience demographics and social interest to assess a brand or creator partnership. Box office does not establish audience affinity.</x:v>
      </x:c>
      <x:c r="M31" s="40" t="str">
        <x:v>Use audience demographics and social interest to assess a brand or creator partnership. Box office does not establish audience affinity.</x:v>
      </x:c>
    </x:row>
    <x:row r="32" ht="24" customHeight="1">
      <x:c r="B32" s="2"/>
      <x:c r="C32" s="2"/>
      <x:c r="D32" s="2"/>
      <x:c r="E32" s="2"/>
      <x:c r="F32" s="2"/>
      <x:c r="G32" s="2"/>
      <x:c r="H32" s="2"/>
      <x:c r="I32" s="2"/>
      <x:c r="J32" s="40" t="str">
        <x:v>Use audience demographics and social interest to assess a brand or creator partnership. Box office does not establish audience affinity.</x:v>
      </x:c>
      <x:c r="K32" s="40" t="str">
        <x:v>Use audience demographics and social interest to assess a brand or creator partnership. Box office does not establish audience affinity.</x:v>
      </x:c>
      <x:c r="L32" s="40" t="str">
        <x:v>Use audience demographics and social interest to assess a brand or creator partnership. Box office does not establish audience affinity.</x:v>
      </x:c>
      <x:c r="M32" s="40" t="str">
        <x:v>Use audience demographics and social interest to assess a brand or creator partnership. Box office does not establish audience affinity.</x:v>
      </x:c>
    </x:row>
    <x:row r="33" ht="24" customHeight="1">
      <x:c r="B33" s="2"/>
      <x:c r="C33" s="2"/>
      <x:c r="D33" s="2"/>
      <x:c r="E33" s="2"/>
      <x:c r="F33" s="2"/>
      <x:c r="G33" s="2"/>
      <x:c r="H33" s="2"/>
      <x:c r="I33" s="2"/>
      <x:c r="J33" s="40" t="str">
        <x:v>Use audience demographics and social interest to assess a brand or creator partnership. Box office does not establish audience affinity.</x:v>
      </x:c>
      <x:c r="K33" s="40" t="str">
        <x:v>Use audience demographics and social interest to assess a brand or creator partnership. Box office does not establish audience affinity.</x:v>
      </x:c>
      <x:c r="L33" s="40" t="str">
        <x:v>Use audience demographics and social interest to assess a brand or creator partnership. Box office does not establish audience affinity.</x:v>
      </x:c>
      <x:c r="M33" s="40" t="str">
        <x:v>Use audience demographics and social interest to assess a brand or creator partnership. Box office does not establish audience affinity.</x:v>
      </x:c>
    </x:row>
    <x:row r="34" ht="24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4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B36" s="29" t="str">
        <x:v>Scope and interpretation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4" customHeight="1">
      <x:c r="B37" s="40" t="str">
        <x:v>Selected five-film case study. Release dates and genres differ. Opening totals include publisher-reported previews.</x:v>
      </x:c>
      <x:c r="C37" s="40" t="str">
        <x:v>Selected five-film case study. Release dates and genres differ. Opening totals include publisher-reported previews.</x:v>
      </x:c>
      <x:c r="D37" s="40" t="str">
        <x:v>Selected five-film case study. Release dates and genres differ. Opening totals include publisher-reported previews.</x:v>
      </x:c>
      <x:c r="E37" s="40" t="str">
        <x:v>Selected five-film case study. Release dates and genres differ. Opening totals include publisher-reported previews.</x:v>
      </x:c>
      <x:c r="F37" s="40" t="str">
        <x:v>Selected five-film case study. Release dates and genres differ. Opening totals include publisher-reported previews.</x:v>
      </x:c>
      <x:c r="G37" s="40" t="str">
        <x:v>Selected five-film case study. Release dates and genres differ. Opening totals include publisher-reported previews.</x:v>
      </x:c>
      <x:c r="H37" s="40" t="str">
        <x:v>Selected five-film case study. Release dates and genres differ. Opening totals include publisher-reported previews.</x:v>
      </x:c>
      <x:c r="I37" s="2"/>
      <x:c r="J37" s="2"/>
      <x:c r="K37" s="2"/>
      <x:c r="L37" s="2"/>
      <x:c r="M37" s="2"/>
    </x:row>
    <x:row r="38" ht="24" customHeight="1">
      <x:c r="B38" s="40" t="str">
        <x:v>Selected five-film case study. Release dates and genres differ. Opening totals include publisher-reported previews.</x:v>
      </x:c>
      <x:c r="C38" s="40" t="str">
        <x:v>Selected five-film case study. Release dates and genres differ. Opening totals include publisher-reported previews.</x:v>
      </x:c>
      <x:c r="D38" s="40" t="str">
        <x:v>Selected five-film case study. Release dates and genres differ. Opening totals include publisher-reported previews.</x:v>
      </x:c>
      <x:c r="E38" s="40" t="str">
        <x:v>Selected five-film case study. Release dates and genres differ. Opening totals include publisher-reported previews.</x:v>
      </x:c>
      <x:c r="F38" s="40" t="str">
        <x:v>Selected five-film case study. Release dates and genres differ. Opening totals include publisher-reported previews.</x:v>
      </x:c>
      <x:c r="G38" s="40" t="str">
        <x:v>Selected five-film case study. Release dates and genres differ. Opening totals include publisher-reported previews.</x:v>
      </x:c>
      <x:c r="H38" s="40" t="str">
        <x:v>Selected five-film case study. Release dates and genres differ. Opening totals include publisher-reported previews.</x:v>
      </x:c>
      <x:c r="I38" s="2"/>
      <x:c r="J38" s="2"/>
      <x:c r="K38" s="2"/>
      <x:c r="L38" s="2"/>
      <x:c r="M38" s="2"/>
    </x:row>
    <x:row r="39" ht="24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4" customHeight="1">
      <x:c r="B40" s="40" t="str">
        <x:v>Per-theater revenue does not control for ticket price, premium format, seats, showtimes or venue mix. Revenue retention does not measure repeat viewers, demographics or marketing causation.</x:v>
      </x:c>
      <x:c r="C40" s="40" t="str">
        <x:v>Per-theater revenue does not control for ticket price, premium format, seats, showtimes or venue mix. Revenue retention does not measure repeat viewers, demographics or marketing causation.</x:v>
      </x:c>
      <x:c r="D40" s="40" t="str">
        <x:v>Per-theater revenue does not control for ticket price, premium format, seats, showtimes or venue mix. Revenue retention does not measure repeat viewers, demographics or marketing causation.</x:v>
      </x:c>
      <x:c r="E40" s="40" t="str">
        <x:v>Per-theater revenue does not control for ticket price, premium format, seats, showtimes or venue mix. Revenue retention does not measure repeat viewers, demographics or marketing causation.</x:v>
      </x:c>
      <x:c r="F40" s="40" t="str">
        <x:v>Per-theater revenue does not control for ticket price, premium format, seats, showtimes or venue mix. Revenue retention does not measure repeat viewers, demographics or marketing causation.</x:v>
      </x:c>
      <x:c r="G40" s="40" t="str">
        <x:v>Per-theater revenue does not control for ticket price, premium format, seats, showtimes or venue mix. Revenue retention does not measure repeat viewers, demographics or marketing causation.</x:v>
      </x:c>
      <x:c r="H40" s="40" t="str">
        <x:v>Per-theater revenue does not control for ticket price, premium format, seats, showtimes or venue mix. Revenue retention does not measure repeat viewers, demographics or marketing causation.</x:v>
      </x:c>
      <x:c r="I40" s="2"/>
      <x:c r="J40" s="2"/>
      <x:c r="K40" s="2"/>
      <x:c r="L40" s="2"/>
      <x:c r="M40" s="2"/>
    </x:row>
    <x:row r="41" ht="24" customHeight="1">
      <x:c r="B41" s="40" t="str">
        <x:v>Per-theater revenue does not control for ticket price, premium format, seats, showtimes or venue mix. Revenue retention does not measure repeat viewers, demographics or marketing causation.</x:v>
      </x:c>
      <x:c r="C41" s="40" t="str">
        <x:v>Per-theater revenue does not control for ticket price, premium format, seats, showtimes or venue mix. Revenue retention does not measure repeat viewers, demographics or marketing causation.</x:v>
      </x:c>
      <x:c r="D41" s="40" t="str">
        <x:v>Per-theater revenue does not control for ticket price, premium format, seats, showtimes or venue mix. Revenue retention does not measure repeat viewers, demographics or marketing causation.</x:v>
      </x:c>
      <x:c r="E41" s="40" t="str">
        <x:v>Per-theater revenue does not control for ticket price, premium format, seats, showtimes or venue mix. Revenue retention does not measure repeat viewers, demographics or marketing causation.</x:v>
      </x:c>
      <x:c r="F41" s="40" t="str">
        <x:v>Per-theater revenue does not control for ticket price, premium format, seats, showtimes or venue mix. Revenue retention does not measure repeat viewers, demographics or marketing causation.</x:v>
      </x:c>
      <x:c r="G41" s="40" t="str">
        <x:v>Per-theater revenue does not control for ticket price, premium format, seats, showtimes or venue mix. Revenue retention does not measure repeat viewers, demographics or marketing causation.</x:v>
      </x:c>
      <x:c r="H41" s="40" t="str">
        <x:v>Per-theater revenue does not control for ticket price, premium format, seats, showtimes or venue mix. Revenue retention does not measure repeat viewers, demographics or marketing causation.</x:v>
      </x:c>
      <x:c r="I41" s="2"/>
      <x:c r="J41" s="2"/>
      <x:c r="K41" s="2"/>
      <x:c r="L41" s="2"/>
      <x:c r="M41" s="2"/>
    </x:row>
    <x:row r="42" ht="24" customHeight="1">
      <x:c r="B42" s="40" t="str">
        <x:v>Per-theater revenue does not control for ticket price, premium format, seats, showtimes or venue mix. Revenue retention does not measure repeat viewers, demographics or marketing causation.</x:v>
      </x:c>
      <x:c r="C42" s="40" t="str">
        <x:v>Per-theater revenue does not control for ticket price, premium format, seats, showtimes or venue mix. Revenue retention does not measure repeat viewers, demographics or marketing causation.</x:v>
      </x:c>
      <x:c r="D42" s="40" t="str">
        <x:v>Per-theater revenue does not control for ticket price, premium format, seats, showtimes or venue mix. Revenue retention does not measure repeat viewers, demographics or marketing causation.</x:v>
      </x:c>
      <x:c r="E42" s="40" t="str">
        <x:v>Per-theater revenue does not control for ticket price, premium format, seats, showtimes or venue mix. Revenue retention does not measure repeat viewers, demographics or marketing causation.</x:v>
      </x:c>
      <x:c r="F42" s="40" t="str">
        <x:v>Per-theater revenue does not control for ticket price, premium format, seats, showtimes or venue mix. Revenue retention does not measure repeat viewers, demographics or marketing causation.</x:v>
      </x:c>
      <x:c r="G42" s="40" t="str">
        <x:v>Per-theater revenue does not control for ticket price, premium format, seats, showtimes or venue mix. Revenue retention does not measure repeat viewers, demographics or marketing causation.</x:v>
      </x:c>
      <x:c r="H42" s="40" t="str">
        <x:v>Per-theater revenue does not control for ticket price, premium format, seats, showtimes or venue mix. Revenue retention does not measure repeat viewers, demographics or marketing causation.</x:v>
      </x:c>
      <x:c r="I42" s="2"/>
      <x:c r="J42" s="2"/>
      <x:c r="K42" s="2"/>
      <x:c r="L42" s="2"/>
      <x:c r="M42" s="2"/>
    </x:row>
    <x:row r="43" ht="24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</x:sheetData>
  <x:mergeCells>
    <x:mergeCell ref="J20:M20"/>
    <x:mergeCell ref="J22:M26"/>
    <x:mergeCell ref="J28:M33"/>
    <x:mergeCell ref="B37:H38"/>
    <x:mergeCell ref="B40:H42"/>
  </x:mergeCells>
  <x:pageMargins left="0.7" right="0.7" top="0.75" bottom="0.75" header="0.3" footer="0.3"/>
  <x:drawing xmlns:r="http://schemas.openxmlformats.org/officeDocument/2006/relationships" r:id="Rb81caa2aa45a4c2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7" hidden="0" customWidth="1"/>
    <x:col min="4" max="4" width="16" hidden="0" customWidth="1"/>
    <x:col min="5" max="5" width="11" hidden="0" customWidth="1"/>
    <x:col min="6" max="6" width="19" hidden="0" customWidth="1"/>
    <x:col min="7" max="7" width="19" hidden="0" customWidth="1"/>
    <x:col min="8" max="8" width="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3" hidden="0" customWidth="1"/>
    <x:col min="15" max="15" width="86" hidden="0" customWidth="1"/>
  </x:cols>
  <x:sheetData>
    <x:row r="1" ht="24" customHeight="1">
      <x:c r="A1" s="6" t="str">
        <x:v>Reported film weekends and calculations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5" t="str">
        <x:v>The Numbers domestic tables. United States and Canada. Retrieved October 9, 2026.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5" t="str">
        <x:v>Opening figures retain published preview conventions. One row = one film and reported weekend.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5" t="str">
        <x:v>Columns A–G preserve the recorded source values. Columns I–M calculate from exact gross and theater counts.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10" t="str">
        <x:v>Film</x:v>
      </x:c>
      <x:c r="B5" s="10" t="str">
        <x:v>Friday</x:v>
      </x:c>
      <x:c r="C5" s="10" t="str">
        <x:v>Week</x:v>
      </x:c>
      <x:c r="D5" s="10" t="str">
        <x:v>Gross (USD)</x:v>
      </x:c>
      <x:c r="E5" s="10" t="str">
        <x:v>Theaters</x:v>
      </x:c>
      <x:c r="F5" s="10" t="str">
        <x:v>Reported avg (USD)</x:v>
      </x:c>
      <x:c r="G5" s="10" t="str">
        <x:v>Reported change</x:v>
      </x:c>
      <x:c r="H5" s="2"/>
      <x:c r="I5" s="10" t="str">
        <x:v>Avg (USD)</x:v>
      </x:c>
      <x:c r="J5" s="10" t="str">
        <x:v>Gross retained</x:v>
      </x:c>
      <x:c r="K5" s="10" t="str">
        <x:v>Theaters retained</x:v>
      </x:c>
      <x:c r="L5" s="10" t="str">
        <x:v>Avg retained</x:v>
      </x:c>
      <x:c r="M5" s="10" t="str">
        <x:v>Calculated change</x:v>
      </x:c>
      <x:c r="N5" s="2"/>
      <x:c r="O5" s="10" t="str">
        <x:v>Public source URL</x:v>
      </x:c>
    </x:row>
    <x:row r="6" ht="24" customHeight="1">
      <x:c r="A6" s="2" t="str">
        <x:v>F1: The Movie</x:v>
      </x:c>
      <x:c r="B6" s="16" t="d">
        <x:v>2025-06-27T00:00:00.000Z</x:v>
      </x:c>
      <x:c r="C6" s="17" t="n">
        <x:v>1</x:v>
      </x:c>
      <x:c r="D6" s="18" t="n">
        <x:v>57001667</x:v>
      </x:c>
      <x:c r="E6" s="17" t="n">
        <x:v>3661</x:v>
      </x:c>
      <x:c r="F6" s="18" t="n">
        <x:v>15570</x:v>
      </x:c>
      <x:c r="G6" s="19"/>
      <x:c r="H6" s="20"/>
      <x:c r="I6" s="18" t="n">
        <x:f>D6/E6</x:f>
        <x:v>15569.971865610489</x:v>
      </x:c>
      <x:c r="J6" s="21" t="n">
        <x:f>D6/SUMIFS($D$6:$D$25,$A$6:$A$25,$A6,$C$6:$C$25,1)</x:f>
        <x:v>1</x:v>
      </x:c>
      <x:c r="K6" s="21" t="n">
        <x:f>E6/SUMIFS($E$6:$E$25,$A$6:$A$25,$A6,$C$6:$C$25,1)</x:f>
        <x:v>1</x:v>
      </x:c>
      <x:c r="L6" s="21" t="n">
        <x:f>I6/SUMIFS($I$6:$I$25,$A$6:$A$25,$A6,$C$6:$C$25,1)</x:f>
        <x:v>1</x:v>
      </x:c>
      <x:c r="M6" s="21" t="str">
        <x:f>IF(C6=1,"",D6/SUMIFS($D$6:$D$25,$A$6:$A$25,$A6,$C$6:$C$25,C6-1)-1)</x:f>
      </x:c>
      <x:c r="N6" s="2"/>
      <x:c r="O6" s="2" t="str">
        <x:v>https://www.the-numbers.com/movie/F1-The-Movie-(2025)</x:v>
      </x:c>
    </x:row>
    <x:row r="7" ht="24" customHeight="1">
      <x:c r="A7" s="2" t="str">
        <x:v>F1: The Movie</x:v>
      </x:c>
      <x:c r="B7" s="16" t="d">
        <x:v>2025-07-04T00:00:00.000Z</x:v>
      </x:c>
      <x:c r="C7" s="17" t="n">
        <x:v>2</x:v>
      </x:c>
      <x:c r="D7" s="18" t="n">
        <x:v>25781267</x:v>
      </x:c>
      <x:c r="E7" s="17" t="n">
        <x:v>3732</x:v>
      </x:c>
      <x:c r="F7" s="18" t="n">
        <x:v>6908</x:v>
      </x:c>
      <x:c r="G7" s="19" t="n">
        <x:v>-0.55</x:v>
      </x:c>
      <x:c r="H7" s="20"/>
      <x:c r="I7" s="18" t="n">
        <x:f>D7/E7</x:f>
        <x:v>6908.163719185423</x:v>
      </x:c>
      <x:c r="J7" s="21" t="n">
        <x:f>D7/SUMIFS($D$6:$D$25,$A$6:$A$25,$A7,$C$6:$C$25,1)</x:f>
        <x:v>0.4522897023344949</x:v>
      </x:c>
      <x:c r="K7" s="21" t="n">
        <x:f>E7/SUMIFS($E$6:$E$25,$A$6:$A$25,$A7,$C$6:$C$25,1)</x:f>
        <x:v>1.019393608303742</x:v>
      </x:c>
      <x:c r="L7" s="21" t="n">
        <x:f>I7/SUMIFS($I$6:$I$25,$A$6:$A$25,$A7,$C$6:$C$25,1)</x:f>
        <x:v>0.4436850482975846</x:v>
      </x:c>
      <x:c r="M7" s="21" t="n">
        <x:f>IF(C7=1,"",D7/SUMIFS($D$6:$D$25,$A$6:$A$25,$A7,$C$6:$C$25,C7-1)-1)</x:f>
        <x:v>-0.547710297665505</x:v>
      </x:c>
      <x:c r="N7" s="2"/>
      <x:c r="O7" s="2" t="str">
        <x:v>https://www.the-numbers.com/movie/F1-The-Movie-(2025)</x:v>
      </x:c>
    </x:row>
    <x:row r="8" ht="24" customHeight="1">
      <x:c r="A8" s="2" t="str">
        <x:v>F1: The Movie</x:v>
      </x:c>
      <x:c r="B8" s="16" t="d">
        <x:v>2025-07-11T00:00:00.000Z</x:v>
      </x:c>
      <x:c r="C8" s="17" t="n">
        <x:v>3</x:v>
      </x:c>
      <x:c r="D8" s="18" t="n">
        <x:v>13061682</x:v>
      </x:c>
      <x:c r="E8" s="17" t="n">
        <x:v>3412</x:v>
      </x:c>
      <x:c r="F8" s="18" t="n">
        <x:v>3828</x:v>
      </x:c>
      <x:c r="G8" s="19" t="n">
        <x:v>-0.49</x:v>
      </x:c>
      <x:c r="H8" s="20"/>
      <x:c r="I8" s="18" t="n">
        <x:f>D8/E8</x:f>
        <x:v>3828.1600234466587</x:v>
      </x:c>
      <x:c r="J8" s="21" t="n">
        <x:f>D8/SUMIFS($D$6:$D$25,$A$6:$A$25,$A8,$C$6:$C$25,1)</x:f>
        <x:v>0.22914561428528046</x:v>
      </x:c>
      <x:c r="K8" s="21" t="n">
        <x:f>E8/SUMIFS($E$6:$E$25,$A$6:$A$25,$A8,$C$6:$C$25,1)</x:f>
        <x:v>0.9319857962305381</x:v>
      </x:c>
      <x:c r="L8" s="21" t="n">
        <x:f>I8/SUMIFS($I$6:$I$25,$A$6:$A$25,$A8,$C$6:$C$25,1)</x:f>
        <x:v>0.24586814006401284</x:v>
      </x:c>
      <x:c r="M8" s="21" t="n">
        <x:f>IF(C8=1,"",D8/SUMIFS($D$6:$D$25,$A$6:$A$25,$A8,$C$6:$C$25,C8-1)-1)</x:f>
        <x:v>-0.4933653958899693</x:v>
      </x:c>
      <x:c r="N8" s="2"/>
      <x:c r="O8" s="2" t="str">
        <x:v>https://www.the-numbers.com/movie/F1-The-Movie-(2025)</x:v>
      </x:c>
    </x:row>
    <x:row r="9" ht="24" customHeight="1">
      <x:c r="A9" s="2" t="str">
        <x:v>F1: The Movie</x:v>
      </x:c>
      <x:c r="B9" s="16" t="d">
        <x:v>2025-07-18T00:00:00.000Z</x:v>
      </x:c>
      <x:c r="C9" s="17" t="n">
        <x:v>4</x:v>
      </x:c>
      <x:c r="D9" s="18" t="n">
        <x:v>9877061</x:v>
      </x:c>
      <x:c r="E9" s="17" t="n">
        <x:v>3094</x:v>
      </x:c>
      <x:c r="F9" s="18" t="n">
        <x:v>3192</x:v>
      </x:c>
      <x:c r="G9" s="19" t="n">
        <x:v>-0.24</x:v>
      </x:c>
      <x:c r="H9" s="20"/>
      <x:c r="I9" s="18" t="n">
        <x:f>D9/E9</x:f>
        <x:v>3192.3274078862314</x:v>
      </x:c>
      <x:c r="J9" s="21" t="n">
        <x:f>D9/SUMIFS($D$6:$D$25,$A$6:$A$25,$A9,$C$6:$C$25,1)</x:f>
        <x:v>0.17327670434620798</x:v>
      </x:c>
      <x:c r="K9" s="21" t="n">
        <x:f>E9/SUMIFS($E$6:$E$25,$A$6:$A$25,$A9,$C$6:$C$25,1)</x:f>
        <x:v>0.8451242829827916</x:v>
      </x:c>
      <x:c r="L9" s="21" t="n">
        <x:f>I9/SUMIFS($I$6:$I$25,$A$6:$A$25,$A9,$C$6:$C$25,1)</x:f>
        <x:v>0.2050310325182506</x:v>
      </x:c>
      <x:c r="M9" s="21" t="n">
        <x:f>IF(C9=1,"",D9/SUMIFS($D$6:$D$25,$A$6:$A$25,$A9,$C$6:$C$25,C9-1)-1)</x:f>
        <x:v>-0.24381400496505734</x:v>
      </x:c>
      <x:c r="N9" s="2"/>
      <x:c r="O9" s="2" t="str">
        <x:v>https://www.the-numbers.com/movie/F1-The-Movie-(2025)</x:v>
      </x:c>
    </x:row>
    <x:row r="10" ht="24" customHeight="1">
      <x:c r="A10" s="2" t="str">
        <x:v>28 Years Later</x:v>
      </x:c>
      <x:c r="B10" s="16" t="d">
        <x:v>2025-06-20T00:00:00.000Z</x:v>
      </x:c>
      <x:c r="C10" s="17" t="n">
        <x:v>1</x:v>
      </x:c>
      <x:c r="D10" s="18" t="n">
        <x:v>30002966</x:v>
      </x:c>
      <x:c r="E10" s="17" t="n">
        <x:v>3444</x:v>
      </x:c>
      <x:c r="F10" s="18" t="n">
        <x:v>8712</x:v>
      </x:c>
      <x:c r="G10" s="19"/>
      <x:c r="H10" s="20"/>
      <x:c r="I10" s="18" t="n">
        <x:f>D10/E10</x:f>
        <x:v>8711.662601626016</x:v>
      </x:c>
      <x:c r="J10" s="21" t="n">
        <x:f>D10/SUMIFS($D$6:$D$25,$A$6:$A$25,$A10,$C$6:$C$25,1)</x:f>
        <x:v>1</x:v>
      </x:c>
      <x:c r="K10" s="21" t="n">
        <x:f>E10/SUMIFS($E$6:$E$25,$A$6:$A$25,$A10,$C$6:$C$25,1)</x:f>
        <x:v>1</x:v>
      </x:c>
      <x:c r="L10" s="21" t="n">
        <x:f>I10/SUMIFS($I$6:$I$25,$A$6:$A$25,$A10,$C$6:$C$25,1)</x:f>
        <x:v>1</x:v>
      </x:c>
      <x:c r="M10" s="21" t="str">
        <x:f>IF(C10=1,"",D10/SUMIFS($D$6:$D$25,$A$6:$A$25,$A10,$C$6:$C$25,C10-1)-1)</x:f>
      </x:c>
      <x:c r="N10" s="2"/>
      <x:c r="O10" s="2" t="str">
        <x:v>https://www.the-numbers.com/movie/28-Years-Later-(2025)</x:v>
      </x:c>
    </x:row>
    <x:row r="11" ht="24" customHeight="1">
      <x:c r="A11" s="2" t="str">
        <x:v>28 Years Later</x:v>
      </x:c>
      <x:c r="B11" s="16" t="d">
        <x:v>2025-06-27T00:00:00.000Z</x:v>
      </x:c>
      <x:c r="C11" s="17" t="n">
        <x:v>2</x:v>
      </x:c>
      <x:c r="D11" s="18" t="n">
        <x:v>9753037</x:v>
      </x:c>
      <x:c r="E11" s="17" t="n">
        <x:v>3444</x:v>
      </x:c>
      <x:c r="F11" s="18" t="n">
        <x:v>2832</x:v>
      </x:c>
      <x:c r="G11" s="19" t="n">
        <x:v>-0.67</x:v>
      </x:c>
      <x:c r="H11" s="20"/>
      <x:c r="I11" s="18" t="n">
        <x:f>D11/E11</x:f>
        <x:v>2831.892276422764</x:v>
      </x:c>
      <x:c r="J11" s="21" t="n">
        <x:f>D11/SUMIFS($D$6:$D$25,$A$6:$A$25,$A11,$C$6:$C$25,1)</x:f>
        <x:v>0.3250690948354906</x:v>
      </x:c>
      <x:c r="K11" s="21" t="n">
        <x:f>E11/SUMIFS($E$6:$E$25,$A$6:$A$25,$A11,$C$6:$C$25,1)</x:f>
        <x:v>1</x:v>
      </x:c>
      <x:c r="L11" s="21" t="n">
        <x:f>I11/SUMIFS($I$6:$I$25,$A$6:$A$25,$A11,$C$6:$C$25,1)</x:f>
        <x:v>0.32506909483549057</x:v>
      </x:c>
      <x:c r="M11" s="21" t="n">
        <x:f>IF(C11=1,"",D11/SUMIFS($D$6:$D$25,$A$6:$A$25,$A11,$C$6:$C$25,C11-1)-1)</x:f>
        <x:v>-0.6749309051645094</x:v>
      </x:c>
      <x:c r="N11" s="2"/>
      <x:c r="O11" s="2" t="str">
        <x:v>https://www.the-numbers.com/movie/28-Years-Later-(2025)</x:v>
      </x:c>
    </x:row>
    <x:row r="12" ht="24" customHeight="1">
      <x:c r="A12" s="2" t="str">
        <x:v>28 Years Later</x:v>
      </x:c>
      <x:c r="B12" s="16" t="d">
        <x:v>2025-07-04T00:00:00.000Z</x:v>
      </x:c>
      <x:c r="C12" s="17" t="n">
        <x:v>3</x:v>
      </x:c>
      <x:c r="D12" s="18" t="n">
        <x:v>4567059</x:v>
      </x:c>
      <x:c r="E12" s="17" t="n">
        <x:v>2917</x:v>
      </x:c>
      <x:c r="F12" s="18" t="n">
        <x:v>1566</x:v>
      </x:c>
      <x:c r="G12" s="19" t="n">
        <x:v>-0.53</x:v>
      </x:c>
      <x:c r="H12" s="20"/>
      <x:c r="I12" s="18" t="n">
        <x:f>D12/E12</x:f>
        <x:v>1565.6698663009943</x:v>
      </x:c>
      <x:c r="J12" s="21" t="n">
        <x:f>D12/SUMIFS($D$6:$D$25,$A$6:$A$25,$A12,$C$6:$C$25,1)</x:f>
        <x:v>0.15222025049123478</x:v>
      </x:c>
      <x:c r="K12" s="21" t="n">
        <x:f>E12/SUMIFS($E$6:$E$25,$A$6:$A$25,$A12,$C$6:$C$25,1)</x:f>
        <x:v>0.8469802555168409</x:v>
      </x:c>
      <x:c r="L12" s="21" t="n">
        <x:f>I12/SUMIFS($I$6:$I$25,$A$6:$A$25,$A12,$C$6:$C$25,1)</x:f>
        <x:v>0.17972113222208178</x:v>
      </x:c>
      <x:c r="M12" s="21" t="n">
        <x:f>IF(C12=1,"",D12/SUMIFS($D$6:$D$25,$A$6:$A$25,$A12,$C$6:$C$25,C12-1)-1)</x:f>
        <x:v>-0.5317295525486061</x:v>
      </x:c>
      <x:c r="N12" s="2"/>
      <x:c r="O12" s="2" t="str">
        <x:v>https://www.the-numbers.com/movie/28-Years-Later-(2025)</x:v>
      </x:c>
    </x:row>
    <x:row r="13" ht="24" customHeight="1">
      <x:c r="A13" s="2" t="str">
        <x:v>28 Years Later</x:v>
      </x:c>
      <x:c r="B13" s="16" t="d">
        <x:v>2025-07-11T00:00:00.000Z</x:v>
      </x:c>
      <x:c r="C13" s="17" t="n">
        <x:v>4</x:v>
      </x:c>
      <x:c r="D13" s="18" t="n">
        <x:v>2761843</x:v>
      </x:c>
      <x:c r="E13" s="17" t="n">
        <x:v>2208</x:v>
      </x:c>
      <x:c r="F13" s="18" t="n">
        <x:v>1251</x:v>
      </x:c>
      <x:c r="G13" s="19" t="n">
        <x:v>-0.4</x:v>
      </x:c>
      <x:c r="H13" s="20"/>
      <x:c r="I13" s="18" t="n">
        <x:f>D13/E13</x:f>
        <x:v>1250.8346920289855</x:v>
      </x:c>
      <x:c r="J13" s="21" t="n">
        <x:f>D13/SUMIFS($D$6:$D$25,$A$6:$A$25,$A13,$C$6:$C$25,1)</x:f>
        <x:v>0.09205233242606747</x:v>
      </x:c>
      <x:c r="K13" s="21" t="n">
        <x:f>E13/SUMIFS($E$6:$E$25,$A$6:$A$25,$A13,$C$6:$C$25,1)</x:f>
        <x:v>0.6411149825783972</x:v>
      </x:c>
      <x:c r="L13" s="21" t="n">
        <x:f>I13/SUMIFS($I$6:$I$25,$A$6:$A$25,$A13,$C$6:$C$25,1)</x:f>
        <x:v>0.1435816272080509</x:v>
      </x:c>
      <x:c r="M13" s="21" t="n">
        <x:f>IF(C13=1,"",D13/SUMIFS($D$6:$D$25,$A$6:$A$25,$A13,$C$6:$C$25,C13-1)-1)</x:f>
        <x:v>-0.3952688152266043</x:v>
      </x:c>
      <x:c r="N13" s="2"/>
      <x:c r="O13" s="2" t="str">
        <x:v>https://www.the-numbers.com/movie/28-Years-Later-(2025)</x:v>
      </x:c>
    </x:row>
    <x:row r="14" ht="24" customHeight="1">
      <x:c r="A14" s="2" t="str">
        <x:v>Elio</x:v>
      </x:c>
      <x:c r="B14" s="16" t="d">
        <x:v>2025-06-20T00:00:00.000Z</x:v>
      </x:c>
      <x:c r="C14" s="17" t="n">
        <x:v>1</x:v>
      </x:c>
      <x:c r="D14" s="18" t="n">
        <x:v>20840667</x:v>
      </x:c>
      <x:c r="E14" s="17" t="n">
        <x:v>3750</x:v>
      </x:c>
      <x:c r="F14" s="18" t="n">
        <x:v>5558</x:v>
      </x:c>
      <x:c r="G14" s="19"/>
      <x:c r="H14" s="20"/>
      <x:c r="I14" s="18" t="n">
        <x:f>D14/E14</x:f>
        <x:v>5557.5112</x:v>
      </x:c>
      <x:c r="J14" s="21" t="n">
        <x:f>D14/SUMIFS($D$6:$D$25,$A$6:$A$25,$A14,$C$6:$C$25,1)</x:f>
        <x:v>1</x:v>
      </x:c>
      <x:c r="K14" s="21" t="n">
        <x:f>E14/SUMIFS($E$6:$E$25,$A$6:$A$25,$A14,$C$6:$C$25,1)</x:f>
        <x:v>1</x:v>
      </x:c>
      <x:c r="L14" s="21" t="n">
        <x:f>I14/SUMIFS($I$6:$I$25,$A$6:$A$25,$A14,$C$6:$C$25,1)</x:f>
        <x:v>1</x:v>
      </x:c>
      <x:c r="M14" s="21" t="str">
        <x:f>IF(C14=1,"",D14/SUMIFS($D$6:$D$25,$A$6:$A$25,$A14,$C$6:$C$25,C14-1)-1)</x:f>
      </x:c>
      <x:c r="N14" s="2"/>
      <x:c r="O14" s="2" t="str">
        <x:v>https://www.the-numbers.com/movie/Elio-(2025)</x:v>
      </x:c>
    </x:row>
    <x:row r="15" ht="24" customHeight="1">
      <x:c r="A15" s="2" t="str">
        <x:v>Elio</x:v>
      </x:c>
      <x:c r="B15" s="16" t="d">
        <x:v>2025-06-27T00:00:00.000Z</x:v>
      </x:c>
      <x:c r="C15" s="17" t="n">
        <x:v>2</x:v>
      </x:c>
      <x:c r="D15" s="18" t="n">
        <x:v>10430611</x:v>
      </x:c>
      <x:c r="E15" s="17" t="n">
        <x:v>3750</x:v>
      </x:c>
      <x:c r="F15" s="18" t="n">
        <x:v>2781</x:v>
      </x:c>
      <x:c r="G15" s="19" t="n">
        <x:v>-0.5</x:v>
      </x:c>
      <x:c r="H15" s="20"/>
      <x:c r="I15" s="18" t="n">
        <x:f>D15/E15</x:f>
        <x:v>2781.4962666666665</x:v>
      </x:c>
      <x:c r="J15" s="21" t="n">
        <x:f>D15/SUMIFS($D$6:$D$25,$A$6:$A$25,$A15,$C$6:$C$25,1)</x:f>
        <x:v>0.5004931464045752</x:v>
      </x:c>
      <x:c r="K15" s="21" t="n">
        <x:f>E15/SUMIFS($E$6:$E$25,$A$6:$A$25,$A15,$C$6:$C$25,1)</x:f>
        <x:v>1</x:v>
      </x:c>
      <x:c r="L15" s="21" t="n">
        <x:f>I15/SUMIFS($I$6:$I$25,$A$6:$A$25,$A15,$C$6:$C$25,1)</x:f>
        <x:v>0.5004931464045752</x:v>
      </x:c>
      <x:c r="M15" s="21" t="n">
        <x:f>IF(C15=1,"",D15/SUMIFS($D$6:$D$25,$A$6:$A$25,$A15,$C$6:$C$25,C15-1)-1)</x:f>
        <x:v>-0.4995068535954248</x:v>
      </x:c>
      <x:c r="N15" s="2"/>
      <x:c r="O15" s="2" t="str">
        <x:v>https://www.the-numbers.com/movie/Elio-(2025)</x:v>
      </x:c>
    </x:row>
    <x:row r="16" ht="24" customHeight="1">
      <x:c r="A16" s="2" t="str">
        <x:v>Elio</x:v>
      </x:c>
      <x:c r="B16" s="16" t="d">
        <x:v>2025-07-04T00:00:00.000Z</x:v>
      </x:c>
      <x:c r="C16" s="17" t="n">
        <x:v>3</x:v>
      </x:c>
      <x:c r="D16" s="18" t="n">
        <x:v>5787617</x:v>
      </x:c>
      <x:c r="E16" s="17" t="n">
        <x:v>3235</x:v>
      </x:c>
      <x:c r="F16" s="18" t="n">
        <x:v>1789</x:v>
      </x:c>
      <x:c r="G16" s="19" t="n">
        <x:v>-0.45</x:v>
      </x:c>
      <x:c r="H16" s="20"/>
      <x:c r="I16" s="18" t="n">
        <x:f>D16/E16</x:f>
        <x:v>1789.0624420401855</x:v>
      </x:c>
      <x:c r="J16" s="21" t="n">
        <x:f>D16/SUMIFS($D$6:$D$25,$A$6:$A$25,$A16,$C$6:$C$25,1)</x:f>
        <x:v>0.2777078583905208</x:v>
      </x:c>
      <x:c r="K16" s="21" t="n">
        <x:f>E16/SUMIFS($E$6:$E$25,$A$6:$A$25,$A16,$C$6:$C$25,1)</x:f>
        <x:v>0.8626666666666667</x:v>
      </x:c>
      <x:c r="L16" s="21" t="n">
        <x:f>I16/SUMIFS($I$6:$I$25,$A$6:$A$25,$A16,$C$6:$C$25,1)</x:f>
        <x:v>0.3219179193089499</x:v>
      </x:c>
      <x:c r="M16" s="21" t="n">
        <x:f>IF(C16=1,"",D16/SUMIFS($D$6:$D$25,$A$6:$A$25,$A16,$C$6:$C$25,C16-1)-1)</x:f>
        <x:v>-0.4451315459851777</x:v>
      </x:c>
      <x:c r="N16" s="2"/>
      <x:c r="O16" s="2" t="str">
        <x:v>https://www.the-numbers.com/movie/Elio-(2025)</x:v>
      </x:c>
    </x:row>
    <x:row r="17" ht="24" customHeight="1">
      <x:c r="A17" s="2" t="str">
        <x:v>Elio</x:v>
      </x:c>
      <x:c r="B17" s="16" t="d">
        <x:v>2025-07-11T00:00:00.000Z</x:v>
      </x:c>
      <x:c r="C17" s="17" t="n">
        <x:v>4</x:v>
      </x:c>
      <x:c r="D17" s="18" t="n">
        <x:v>4036724</x:v>
      </x:c>
      <x:c r="E17" s="17" t="n">
        <x:v>2730</x:v>
      </x:c>
      <x:c r="F17" s="18" t="n">
        <x:v>1479</x:v>
      </x:c>
      <x:c r="G17" s="19" t="n">
        <x:v>-0.3</x:v>
      </x:c>
      <x:c r="H17" s="20"/>
      <x:c r="I17" s="18" t="n">
        <x:f>D17/E17</x:f>
        <x:v>1478.65347985348</x:v>
      </x:c>
      <x:c r="J17" s="21" t="n">
        <x:f>D17/SUMIFS($D$6:$D$25,$A$6:$A$25,$A17,$C$6:$C$25,1)</x:f>
        <x:v>0.1936945684128056</x:v>
      </x:c>
      <x:c r="K17" s="21" t="n">
        <x:f>E17/SUMIFS($E$6:$E$25,$A$6:$A$25,$A17,$C$6:$C$25,1)</x:f>
        <x:v>0.728</x:v>
      </x:c>
      <x:c r="L17" s="21" t="n">
        <x:f>I17/SUMIFS($I$6:$I$25,$A$6:$A$25,$A17,$C$6:$C$25,1)</x:f>
        <x:v>0.2660639676000077</x:v>
      </x:c>
      <x:c r="M17" s="21" t="n">
        <x:f>IF(C17=1,"",D17/SUMIFS($D$6:$D$25,$A$6:$A$25,$A17,$C$6:$C$25,C17-1)-1)</x:f>
        <x:v>-0.3025239921715621</x:v>
      </x:c>
      <x:c r="N17" s="2"/>
      <x:c r="O17" s="2" t="str">
        <x:v>https://www.the-numbers.com/movie/Elio-(2025)</x:v>
      </x:c>
    </x:row>
    <x:row r="18" ht="24" customHeight="1">
      <x:c r="A18" s="2" t="str">
        <x:v>M3GAN 2.0</x:v>
      </x:c>
      <x:c r="B18" s="16" t="d">
        <x:v>2025-06-27T00:00:00.000Z</x:v>
      </x:c>
      <x:c r="C18" s="17" t="n">
        <x:v>1</x:v>
      </x:c>
      <x:c r="D18" s="18" t="n">
        <x:v>10201625</x:v>
      </x:c>
      <x:c r="E18" s="17" t="n">
        <x:v>3112</x:v>
      </x:c>
      <x:c r="F18" s="18" t="n">
        <x:v>3278</x:v>
      </x:c>
      <x:c r="G18" s="19"/>
      <x:c r="H18" s="20"/>
      <x:c r="I18" s="18" t="n">
        <x:f>D18/E18</x:f>
        <x:v>3278.1571336760926</x:v>
      </x:c>
      <x:c r="J18" s="21" t="n">
        <x:f>D18/SUMIFS($D$6:$D$25,$A$6:$A$25,$A18,$C$6:$C$25,1)</x:f>
        <x:v>1</x:v>
      </x:c>
      <x:c r="K18" s="21" t="n">
        <x:f>E18/SUMIFS($E$6:$E$25,$A$6:$A$25,$A18,$C$6:$C$25,1)</x:f>
        <x:v>1</x:v>
      </x:c>
      <x:c r="L18" s="21" t="n">
        <x:f>I18/SUMIFS($I$6:$I$25,$A$6:$A$25,$A18,$C$6:$C$25,1)</x:f>
        <x:v>1</x:v>
      </x:c>
      <x:c r="M18" s="21" t="str">
        <x:f>IF(C18=1,"",D18/SUMIFS($D$6:$D$25,$A$6:$A$25,$A18,$C$6:$C$25,C18-1)-1)</x:f>
      </x:c>
      <x:c r="N18" s="2"/>
      <x:c r="O18" s="2" t="str">
        <x:v>https://www.the-numbers.com/movie/M3GAN-2-0-(2025)</x:v>
      </x:c>
    </x:row>
    <x:row r="19" ht="24" customHeight="1">
      <x:c r="A19" s="2" t="str">
        <x:v>M3GAN 2.0</x:v>
      </x:c>
      <x:c r="B19" s="16" t="d">
        <x:v>2025-07-04T00:00:00.000Z</x:v>
      </x:c>
      <x:c r="C19" s="17" t="n">
        <x:v>2</x:v>
      </x:c>
      <x:c r="D19" s="18" t="n">
        <x:v>3954325</x:v>
      </x:c>
      <x:c r="E19" s="17" t="n">
        <x:v>3133</x:v>
      </x:c>
      <x:c r="F19" s="18" t="n">
        <x:v>1262</x:v>
      </x:c>
      <x:c r="G19" s="19" t="n">
        <x:v>-0.61</x:v>
      </x:c>
      <x:c r="H19" s="20"/>
      <x:c r="I19" s="18" t="n">
        <x:f>D19/E19</x:f>
        <x:v>1262.1528886051708</x:v>
      </x:c>
      <x:c r="J19" s="21" t="n">
        <x:f>D19/SUMIFS($D$6:$D$25,$A$6:$A$25,$A19,$C$6:$C$25,1)</x:f>
        <x:v>0.38761716883339664</x:v>
      </x:c>
      <x:c r="K19" s="21" t="n">
        <x:f>E19/SUMIFS($E$6:$E$25,$A$6:$A$25,$A19,$C$6:$C$25,1)</x:f>
        <x:v>1.0067480719794344</x:v>
      </x:c>
      <x:c r="L19" s="21" t="n">
        <x:f>I19/SUMIFS($I$6:$I$25,$A$6:$A$25,$A19,$C$6:$C$25,1)</x:f>
        <x:v>0.38501903268737003</x:v>
      </x:c>
      <x:c r="M19" s="21" t="n">
        <x:f>IF(C19=1,"",D19/SUMIFS($D$6:$D$25,$A$6:$A$25,$A19,$C$6:$C$25,C19-1)-1)</x:f>
        <x:v>-0.6123828311666033</x:v>
      </x:c>
      <x:c r="N19" s="2"/>
      <x:c r="O19" s="2" t="str">
        <x:v>https://www.the-numbers.com/movie/M3GAN-2-0-(2025)</x:v>
      </x:c>
    </x:row>
    <x:row r="20" ht="24" customHeight="1">
      <x:c r="A20" s="2" t="str">
        <x:v>M3GAN 2.0</x:v>
      </x:c>
      <x:c r="B20" s="16" t="d">
        <x:v>2025-07-11T00:00:00.000Z</x:v>
      </x:c>
      <x:c r="C20" s="17" t="n">
        <x:v>3</x:v>
      </x:c>
      <x:c r="D20" s="18" t="n">
        <x:v>1423395</x:v>
      </x:c>
      <x:c r="E20" s="17" t="n">
        <x:v>1658</x:v>
      </x:c>
      <x:c r="F20" s="18" t="n">
        <x:v>859</x:v>
      </x:c>
      <x:c r="G20" s="19" t="n">
        <x:v>-0.64</x:v>
      </x:c>
      <x:c r="H20" s="20"/>
      <x:c r="I20" s="18" t="n">
        <x:f>D20/E20</x:f>
        <x:v>858.5012062726177</x:v>
      </x:c>
      <x:c r="J20" s="21" t="n">
        <x:f>D20/SUMIFS($D$6:$D$25,$A$6:$A$25,$A20,$C$6:$C$25,1)</x:f>
        <x:v>0.1395263009569554</x:v>
      </x:c>
      <x:c r="K20" s="21" t="n">
        <x:f>E20/SUMIFS($E$6:$E$25,$A$6:$A$25,$A20,$C$6:$C$25,1)</x:f>
        <x:v>0.5327763496143959</x:v>
      </x:c>
      <x:c r="L20" s="21" t="n">
        <x:f>I20/SUMIFS($I$6:$I$25,$A$6:$A$25,$A20,$C$6:$C$25,1)</x:f>
        <x:v>0.261885312773248</x:v>
      </x:c>
      <x:c r="M20" s="21" t="n">
        <x:f>IF(C20=1,"",D20/SUMIFS($D$6:$D$25,$A$6:$A$25,$A20,$C$6:$C$25,C20-1)-1)</x:f>
        <x:v>-0.6400409678010786</x:v>
      </x:c>
      <x:c r="N20" s="2"/>
      <x:c r="O20" s="2" t="str">
        <x:v>https://www.the-numbers.com/movie/M3GAN-2-0-(2025)</x:v>
      </x:c>
    </x:row>
    <x:row r="21" ht="24" customHeight="1">
      <x:c r="A21" s="2" t="str">
        <x:v>M3GAN 2.0</x:v>
      </x:c>
      <x:c r="B21" s="16" t="d">
        <x:v>2025-07-18T00:00:00.000Z</x:v>
      </x:c>
      <x:c r="C21" s="17" t="n">
        <x:v>4</x:v>
      </x:c>
      <x:c r="D21" s="18" t="n">
        <x:v>497040</x:v>
      </x:c>
      <x:c r="E21" s="17" t="n">
        <x:v>712</x:v>
      </x:c>
      <x:c r="F21" s="18" t="n">
        <x:v>698</x:v>
      </x:c>
      <x:c r="G21" s="19" t="n">
        <x:v>-0.65</x:v>
      </x:c>
      <x:c r="H21" s="20"/>
      <x:c r="I21" s="18" t="n">
        <x:f>D21/E21</x:f>
        <x:v>698.0898876404494</x:v>
      </x:c>
      <x:c r="J21" s="21" t="n">
        <x:f>D21/SUMIFS($D$6:$D$25,$A$6:$A$25,$A21,$C$6:$C$25,1)</x:f>
        <x:v>0.04872164973717422</x:v>
      </x:c>
      <x:c r="K21" s="21" t="n">
        <x:f>E21/SUMIFS($E$6:$E$25,$A$6:$A$25,$A21,$C$6:$C$25,1)</x:f>
        <x:v>0.22879177377892032</x:v>
      </x:c>
      <x:c r="L21" s="21" t="n">
        <x:f>I21/SUMIFS($I$6:$I$25,$A$6:$A$25,$A21,$C$6:$C$25,1)</x:f>
        <x:v>0.21295192975012103</x:v>
      </x:c>
      <x:c r="M21" s="21" t="n">
        <x:f>IF(C21=1,"",D21/SUMIFS($D$6:$D$25,$A$6:$A$25,$A21,$C$6:$C$25,C21-1)-1)</x:f>
        <x:v>-0.6508066980704583</x:v>
      </x:c>
      <x:c r="N21" s="2"/>
      <x:c r="O21" s="2" t="str">
        <x:v>https://www.the-numbers.com/movie/M3GAN-2-0-(2025)</x:v>
      </x:c>
    </x:row>
    <x:row r="22" ht="24" customHeight="1">
      <x:c r="A22" s="2" t="str">
        <x:v>How to Train Your Dragon</x:v>
      </x:c>
      <x:c r="B22" s="16" t="d">
        <x:v>2025-06-13T00:00:00.000Z</x:v>
      </x:c>
      <x:c r="C22" s="17" t="n">
        <x:v>1</x:v>
      </x:c>
      <x:c r="D22" s="18" t="n">
        <x:v>84633315</x:v>
      </x:c>
      <x:c r="E22" s="17" t="n">
        <x:v>4356</x:v>
      </x:c>
      <x:c r="F22" s="18" t="n">
        <x:v>19429</x:v>
      </x:c>
      <x:c r="G22" s="19"/>
      <x:c r="H22" s="20"/>
      <x:c r="I22" s="18" t="n">
        <x:f>D22/E22</x:f>
        <x:v>19429.13567493113</x:v>
      </x:c>
      <x:c r="J22" s="21" t="n">
        <x:f>D22/SUMIFS($D$6:$D$25,$A$6:$A$25,$A22,$C$6:$C$25,1)</x:f>
        <x:v>1</x:v>
      </x:c>
      <x:c r="K22" s="21" t="n">
        <x:f>E22/SUMIFS($E$6:$E$25,$A$6:$A$25,$A22,$C$6:$C$25,1)</x:f>
        <x:v>1</x:v>
      </x:c>
      <x:c r="L22" s="21" t="n">
        <x:f>I22/SUMIFS($I$6:$I$25,$A$6:$A$25,$A22,$C$6:$C$25,1)</x:f>
        <x:v>1</x:v>
      </x:c>
      <x:c r="M22" s="21" t="str">
        <x:f>IF(C22=1,"",D22/SUMIFS($D$6:$D$25,$A$6:$A$25,$A22,$C$6:$C$25,C22-1)-1)</x:f>
      </x:c>
      <x:c r="N22" s="2"/>
      <x:c r="O22" s="2" t="str">
        <x:v>https://www.the-numbers.com/movie/How-to-Train-Your-Dragon-(2025)</x:v>
      </x:c>
    </x:row>
    <x:row r="23" ht="24" customHeight="1">
      <x:c r="A23" s="2" t="str">
        <x:v>How to Train Your Dragon</x:v>
      </x:c>
      <x:c r="B23" s="16" t="d">
        <x:v>2025-06-20T00:00:00.000Z</x:v>
      </x:c>
      <x:c r="C23" s="17" t="n">
        <x:v>2</x:v>
      </x:c>
      <x:c r="D23" s="18" t="n">
        <x:v>36577190</x:v>
      </x:c>
      <x:c r="E23" s="17" t="n">
        <x:v>4373</x:v>
      </x:c>
      <x:c r="F23" s="18" t="n">
        <x:v>8364</x:v>
      </x:c>
      <x:c r="G23" s="19" t="n">
        <x:v>-0.57</x:v>
      </x:c>
      <x:c r="H23" s="20"/>
      <x:c r="I23" s="18" t="n">
        <x:f>D23/E23</x:f>
        <x:v>8364.32426252001</x:v>
      </x:c>
      <x:c r="J23" s="21" t="n">
        <x:f>D23/SUMIFS($D$6:$D$25,$A$6:$A$25,$A23,$C$6:$C$25,1)</x:f>
        <x:v>0.4321843000005376</x:v>
      </x:c>
      <x:c r="K23" s="21" t="n">
        <x:f>E23/SUMIFS($E$6:$E$25,$A$6:$A$25,$A23,$C$6:$C$25,1)</x:f>
        <x:v>1.0039026629935721</x:v>
      </x:c>
      <x:c r="L23" s="21" t="n">
        <x:f>I23/SUMIFS($I$6:$I$25,$A$6:$A$25,$A23,$C$6:$C$25,1)</x:f>
        <x:v>0.43050418724041656</x:v>
      </x:c>
      <x:c r="M23" s="21" t="n">
        <x:f>IF(C23=1,"",D23/SUMIFS($D$6:$D$25,$A$6:$A$25,$A23,$C$6:$C$25,C23-1)-1)</x:f>
        <x:v>-0.5678156999994624</x:v>
      </x:c>
      <x:c r="N23" s="2"/>
      <x:c r="O23" s="2" t="str">
        <x:v>https://www.the-numbers.com/movie/How-to-Train-Your-Dragon-(2025)</x:v>
      </x:c>
    </x:row>
    <x:row r="24" ht="24" customHeight="1">
      <x:c r="A24" s="2" t="str">
        <x:v>How to Train Your Dragon</x:v>
      </x:c>
      <x:c r="B24" s="16" t="d">
        <x:v>2025-06-27T00:00:00.000Z</x:v>
      </x:c>
      <x:c r="C24" s="17" t="n">
        <x:v>3</x:v>
      </x:c>
      <x:c r="D24" s="18" t="n">
        <x:v>19594045</x:v>
      </x:c>
      <x:c r="E24" s="17" t="n">
        <x:v>4127</x:v>
      </x:c>
      <x:c r="F24" s="18" t="n">
        <x:v>4748</x:v>
      </x:c>
      <x:c r="G24" s="19" t="n">
        <x:v>-0.46</x:v>
      </x:c>
      <x:c r="H24" s="20"/>
      <x:c r="I24" s="18" t="n">
        <x:f>D24/E24</x:f>
        <x:v>4747.769566270899</x:v>
      </x:c>
      <x:c r="J24" s="21" t="n">
        <x:f>D24/SUMIFS($D$6:$D$25,$A$6:$A$25,$A24,$C$6:$C$25,1)</x:f>
        <x:v>0.231516926874482</x:v>
      </x:c>
      <x:c r="K24" s="21" t="n">
        <x:f>E24/SUMIFS($E$6:$E$25,$A$6:$A$25,$A24,$C$6:$C$25,1)</x:f>
        <x:v>0.9474288337924701</x:v>
      </x:c>
      <x:c r="L24" s="21" t="n">
        <x:f>I24/SUMIFS($I$6:$I$25,$A$6:$A$25,$A24,$C$6:$C$25,1)</x:f>
        <x:v>0.24436339555736455</x:v>
      </x:c>
      <x:c r="M24" s="21" t="n">
        <x:f>IF(C24=1,"",D24/SUMIFS($D$6:$D$25,$A$6:$A$25,$A24,$C$6:$C$25,C24-1)-1)</x:f>
        <x:v>-0.46430972417509386</x:v>
      </x:c>
      <x:c r="N24" s="2"/>
      <x:c r="O24" s="2" t="str">
        <x:v>https://www.the-numbers.com/movie/How-to-Train-Your-Dragon-(2025)</x:v>
      </x:c>
    </x:row>
    <x:row r="25" ht="24" customHeight="1">
      <x:c r="A25" s="2" t="str">
        <x:v>How to Train Your Dragon</x:v>
      </x:c>
      <x:c r="B25" s="16" t="d">
        <x:v>2025-07-04T00:00:00.000Z</x:v>
      </x:c>
      <x:c r="C25" s="17" t="n">
        <x:v>4</x:v>
      </x:c>
      <x:c r="D25" s="18" t="n">
        <x:v>11248765</x:v>
      </x:c>
      <x:c r="E25" s="17" t="n">
        <x:v>3714</x:v>
      </x:c>
      <x:c r="F25" s="18" t="n">
        <x:v>3029</x:v>
      </x:c>
      <x:c r="G25" s="19" t="n">
        <x:v>-0.43</x:v>
      </x:c>
      <x:c r="H25" s="20"/>
      <x:c r="I25" s="18" t="n">
        <x:f>D25/E25</x:f>
        <x:v>3028.746634356489</x:v>
      </x:c>
      <x:c r="J25" s="21" t="n">
        <x:f>D25/SUMIFS($D$6:$D$25,$A$6:$A$25,$A25,$C$6:$C$25,1)</x:f>
        <x:v>0.13291178538853168</x:v>
      </x:c>
      <x:c r="K25" s="21" t="n">
        <x:f>E25/SUMIFS($E$6:$E$25,$A$6:$A$25,$A25,$C$6:$C$25,1)</x:f>
        <x:v>0.8526170798898072</x:v>
      </x:c>
      <x:c r="L25" s="21" t="n">
        <x:f>I25/SUMIFS($I$6:$I$25,$A$6:$A$25,$A25,$C$6:$C$25,1)</x:f>
        <x:v>0.15588684360593538</x:v>
      </x:c>
      <x:c r="M25" s="21" t="n">
        <x:f>IF(C25=1,"",D25/SUMIFS($D$6:$D$25,$A$6:$A$25,$A25,$C$6:$C$25,C25-1)-1)</x:f>
        <x:v>-0.425908994288826</x:v>
      </x:c>
      <x:c r="N25" s="2"/>
      <x:c r="O25" s="2" t="str">
        <x:v>https://www.the-numbers.com/movie/How-to-Train-Your-Dragon-(2025)</x:v>
      </x:c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26B92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30" hidden="0" customWidth="1"/>
    <x:col min="3" max="3" width="34" hidden="0" customWidth="1"/>
    <x:col min="4" max="4" width="16" hidden="0" customWidth="1"/>
    <x:col min="5" max="5" width="19" hidden="0" customWidth="1"/>
    <x:col min="6" max="6" width="18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2" ht="30" customHeight="1">
      <x:c r="B2" s="44" t="str">
        <x:v>Official YouTube trailer viewing activity</x:v>
      </x:c>
      <x:c r="C2" s="43" t="str">
        <x:v>Official YouTube trailer viewing activity</x:v>
      </x:c>
      <x:c r="D2" s="43" t="str">
        <x:v>Official YouTube trailer viewing activity</x:v>
      </x:c>
      <x:c r="E2" s="43" t="str">
        <x:v>Official YouTube trailer viewing activity</x:v>
      </x:c>
      <x:c r="F2" s="43" t="str">
        <x:v>Official YouTube trailer viewing activity</x:v>
      </x:c>
      <x:c r="G2" s="43" t="str">
        <x:v>Official YouTube trailer viewing activity</x:v>
      </x:c>
      <x:c r="H2" s="43" t="str">
        <x:v>Official YouTube trailer viewing activity</x:v>
      </x:c>
      <x:c r="I2" s="43" t="str">
        <x:v>Official YouTube trailer viewing activity</x:v>
      </x:c>
      <x:c r="J2" s="43" t="str">
        <x:v>Official YouTube trailer viewing activity</x:v>
      </x:c>
      <x:c r="K2" s="43" t="str">
        <x:v>Official YouTube trailer viewing activity</x:v>
      </x:c>
      <x:c r="L2" s="43" t="str">
        <x:v>Official YouTube trailer viewing activity</x:v>
      </x:c>
      <x:c r="M2" s="43" t="str">
        <x:v>Official YouTube trailer viewing activity</x:v>
      </x:c>
    </x:row>
    <x:row r="3" ht="24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B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C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D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E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F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G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H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I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J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K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L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M4" s="47" t="str">
        <x:v>Two selected official English-language uploads. Cumulative counts reported in public search and retrieved October 9, 2026 (UTC). Underlying count-refresh times are unavailable; these are not live or pre-release observations.</x:v>
      </x:c>
    </x:row>
    <x:row r="5" ht="24" customHeight="1">
      <x:c r="B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C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D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E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F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G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H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I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J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K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L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M5" s="47" t="str">
        <x:v>Two selected official English-language uploads. Cumulative counts reported in public search and retrieved October 9, 2026 (UTC). Underlying count-refresh times are unavailable; these are not live or pre-release observations.</x:v>
      </x:c>
    </x:row>
    <x:row r="6" ht="24" customHeight="1">
      <x:c r="B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C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D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E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F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G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H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I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J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K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L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  <x:c r="M6" s="47" t="str">
        <x:v>Two selected official English-language uploads. Cumulative counts reported in public search and retrieved October 9, 2026 (UTC). Underlying count-refresh times are unavailable; these are not live or pre-release observations.</x:v>
      </x:c>
    </x:row>
    <x:row r="7" ht="24" customHeight="1"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4" customHeight="1"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6" customHeight="1">
      <x:c r="B9" s="51" t="str">
        <x:v>Film</x:v>
      </x:c>
      <x:c r="C9" s="51" t="str">
        <x:v>Official publisher</x:v>
      </x:c>
      <x:c r="D9" s="51" t="str">
        <x:v>Published</x:v>
      </x:c>
      <x:c r="E9" s="51" t="str">
        <x:v>Reported views</x:v>
      </x:c>
      <x:c r="F9" s="51" t="str">
        <x:v>Retrieved (UTC)</x:v>
      </x:c>
      <x:c r="G9" s="2"/>
      <x:c r="H9" s="30" t="str">
        <x:v>Official trailer</x:v>
      </x:c>
      <x:c r="I9" s="30" t="str">
        <x:v>Reported views</x:v>
      </x:c>
      <x:c r="J9" s="2"/>
      <x:c r="K9" s="2"/>
      <x:c r="L9" s="2"/>
      <x:c r="M9" s="2"/>
    </x:row>
    <x:row r="10" ht="30" customHeight="1">
      <x:c r="B10" s="2" t="str">
        <x:v>F1: The Movie</x:v>
      </x:c>
      <x:c r="C10" s="2" t="str">
        <x:v>Warner Bros. Pictures</x:v>
      </x:c>
      <x:c r="D10" s="53" t="d">
        <x:v>2025-03-13T00:00:00.000Z</x:v>
      </x:c>
      <x:c r="E10" s="17" t="n">
        <x:v>21960274</x:v>
      </x:c>
      <x:c r="F10" s="53" t="d">
        <x:v>2026-10-09T00:00:00.000Z</x:v>
      </x:c>
      <x:c r="G10" s="2"/>
      <x:c r="H10" s="30" t="str">
        <x:f>B10</x:f>
        <x:v>F1: The Movie</x:v>
      </x:c>
      <x:c r="I10" s="55" t="n">
        <x:f>E10</x:f>
        <x:v>21960274</x:v>
      </x:c>
      <x:c r="J10" s="2"/>
      <x:c r="K10" s="2"/>
      <x:c r="L10" s="2"/>
      <x:c r="M10" s="2"/>
    </x:row>
    <x:row r="11" ht="30" customHeight="1">
      <x:c r="B11" s="4" t="str">
        <x:v>28 Years Later</x:v>
      </x:c>
      <x:c r="C11" s="4" t="str">
        <x:v>Sony Pictures Entertainment</x:v>
      </x:c>
      <x:c r="D11" s="54" t="d">
        <x:v>2024-12-10T00:00:00.000Z</x:v>
      </x:c>
      <x:c r="E11" s="26" t="n">
        <x:v>34419213</x:v>
      </x:c>
      <x:c r="F11" s="54" t="d">
        <x:v>2026-10-09T00:00:00.000Z</x:v>
      </x:c>
      <x:c r="G11" s="2"/>
      <x:c r="H11" s="30" t="str">
        <x:f>B11</x:f>
        <x:v>28 Years Later</x:v>
      </x:c>
      <x:c r="I11" s="55" t="n">
        <x:f>E11</x:f>
        <x:v>34419213</x:v>
      </x:c>
      <x:c r="J11" s="2"/>
      <x:c r="K11" s="2"/>
      <x:c r="L11" s="2"/>
      <x:c r="M11" s="2"/>
    </x:row>
    <x:row r="12" ht="24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B13" s="47" t="str">
        <x:v>The 28 Years Later upload was published 93 days earlier. Different channels, paid distribution and unknown refresh dates prevent an exposure-matched popularity comparison.</x:v>
      </x:c>
      <x:c r="C13" s="47" t="str">
        <x:v>The 28 Years Later upload was published 93 days earlier. Different channels, paid distribution and unknown refresh dates prevent an exposure-matched popularity comparison.</x:v>
      </x:c>
      <x:c r="D13" s="47" t="str">
        <x:v>The 28 Years Later upload was published 93 days earlier. Different channels, paid distribution and unknown refresh dates prevent an exposure-matched popularity comparison.</x:v>
      </x:c>
      <x:c r="E13" s="47" t="str">
        <x:v>The 28 Years Later upload was published 93 days earlier. Different channels, paid distribution and unknown refresh dates prevent an exposure-matched popularity comparison.</x:v>
      </x:c>
      <x:c r="F13" s="47" t="str">
        <x:v>The 28 Years Later upload was published 93 days earlier. Different channels, paid distribution and unknown refresh dates prevent an exposure-matched popularity comparison.</x:v>
      </x:c>
      <x:c r="G13" s="2"/>
      <x:c r="H13" s="2"/>
      <x:c r="I13" s="2"/>
      <x:c r="J13" s="2"/>
      <x:c r="K13" s="2"/>
      <x:c r="L13" s="2"/>
      <x:c r="M13" s="2"/>
    </x:row>
    <x:row r="14" ht="24" customHeight="1">
      <x:c r="B14" s="47" t="str">
        <x:v>The 28 Years Later upload was published 93 days earlier. Different channels, paid distribution and unknown refresh dates prevent an exposure-matched popularity comparison.</x:v>
      </x:c>
      <x:c r="C14" s="47" t="str">
        <x:v>The 28 Years Later upload was published 93 days earlier. Different channels, paid distribution and unknown refresh dates prevent an exposure-matched popularity comparison.</x:v>
      </x:c>
      <x:c r="D14" s="47" t="str">
        <x:v>The 28 Years Later upload was published 93 days earlier. Different channels, paid distribution and unknown refresh dates prevent an exposure-matched popularity comparison.</x:v>
      </x:c>
      <x:c r="E14" s="47" t="str">
        <x:v>The 28 Years Later upload was published 93 days earlier. Different channels, paid distribution and unknown refresh dates prevent an exposure-matched popularity comparison.</x:v>
      </x:c>
      <x:c r="F14" s="47" t="str">
        <x:v>The 28 Years Later upload was published 93 days earlier. Different channels, paid distribution and unknown refresh dates prevent an exposure-matched popularity comparison.</x:v>
      </x:c>
      <x:c r="G14" s="2"/>
      <x:c r="H14" s="2"/>
      <x:c r="I14" s="2"/>
      <x:c r="J14" s="2"/>
      <x:c r="K14" s="2"/>
      <x:c r="L14" s="2"/>
      <x:c r="M14" s="2"/>
    </x:row>
    <x:row r="15" ht="24" customHeight="1">
      <x:c r="B15" s="47" t="str">
        <x:v>The 28 Years Later upload was published 93 days earlier. Different channels, paid distribution and unknown refresh dates prevent an exposure-matched popularity comparison.</x:v>
      </x:c>
      <x:c r="C15" s="47" t="str">
        <x:v>The 28 Years Later upload was published 93 days earlier. Different channels, paid distribution and unknown refresh dates prevent an exposure-matched popularity comparison.</x:v>
      </x:c>
      <x:c r="D15" s="47" t="str">
        <x:v>The 28 Years Later upload was published 93 days earlier. Different channels, paid distribution and unknown refresh dates prevent an exposure-matched popularity comparison.</x:v>
      </x:c>
      <x:c r="E15" s="47" t="str">
        <x:v>The 28 Years Later upload was published 93 days earlier. Different channels, paid distribution and unknown refresh dates prevent an exposure-matched popularity comparison.</x:v>
      </x:c>
      <x:c r="F15" s="47" t="str">
        <x:v>The 28 Years Later upload was published 93 days earlier. Different channels, paid distribution and unknown refresh dates prevent an exposure-matched popularity comparison.</x:v>
      </x:c>
      <x:c r="G15" s="2"/>
      <x:c r="H15" s="2"/>
      <x:c r="I15" s="2"/>
      <x:c r="J15" s="2"/>
      <x:c r="K15" s="2"/>
      <x:c r="L15" s="2"/>
      <x:c r="M15" s="2"/>
    </x:row>
    <x:row r="16" ht="24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4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4" customHeight="1">
      <x:c r="B18" s="2"/>
      <x:c r="C18" s="2"/>
      <x:c r="D18" s="2"/>
      <x:c r="E18" s="2"/>
      <x:c r="F18" s="2"/>
      <x:c r="G18" s="2"/>
      <x:c r="H18" s="59" t="str">
        <x:v>Before a brand or creator pitch</x:v>
      </x:c>
      <x:c r="I18" s="58" t="str">
        <x:v>Before a brand or creator pitch</x:v>
      </x:c>
      <x:c r="J18" s="58" t="str">
        <x:v>Before a brand or creator pitch</x:v>
      </x:c>
      <x:c r="K18" s="58" t="str">
        <x:v>Before a brand or creator pitch</x:v>
      </x:c>
      <x:c r="L18" s="58" t="str">
        <x:v>Before a brand or creator pitch</x:v>
      </x:c>
      <x:c r="M18" s="58" t="str">
        <x:v>Before a brand or creator pitch</x:v>
      </x:c>
    </x:row>
    <x:row r="19" ht="24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B20" s="2"/>
      <x:c r="C20" s="2"/>
      <x:c r="D20" s="2"/>
      <x:c r="E20" s="2"/>
      <x:c r="F20" s="2"/>
      <x:c r="G20" s="2"/>
      <x:c r="H20" s="40" t="str">
        <x:v>For a film and sports idea around F1, request recent organic viewing, audience geography, and overlap with the brand’s customers before choosing creators or partners.</x:v>
      </x:c>
      <x:c r="I20" s="40" t="str">
        <x:v>For a film and sports idea around F1, request recent organic viewing, audience geography, and overlap with the brand’s customers before choosing creators or partners.</x:v>
      </x:c>
      <x:c r="J20" s="40" t="str">
        <x:v>For a film and sports idea around F1, request recent organic viewing, audience geography, and overlap with the brand’s customers before choosing creators or partners.</x:v>
      </x:c>
      <x:c r="K20" s="40" t="str">
        <x:v>For a film and sports idea around F1, request recent organic viewing, audience geography, and overlap with the brand’s customers before choosing creators or partners.</x:v>
      </x:c>
      <x:c r="L20" s="40" t="str">
        <x:v>For a film and sports idea around F1, request recent organic viewing, audience geography, and overlap with the brand’s customers before choosing creators or partners.</x:v>
      </x:c>
      <x:c r="M20" s="40" t="str">
        <x:v>For a film and sports idea around F1, request recent organic viewing, audience geography, and overlap with the brand’s customers before choosing creators or partners.</x:v>
      </x:c>
    </x:row>
    <x:row r="21" ht="24" customHeight="1">
      <x:c r="B21" s="2"/>
      <x:c r="C21" s="2"/>
      <x:c r="D21" s="2"/>
      <x:c r="E21" s="2"/>
      <x:c r="F21" s="2"/>
      <x:c r="G21" s="2"/>
      <x:c r="H21" s="40" t="str">
        <x:v>For a film and sports idea around F1, request recent organic viewing, audience geography, and overlap with the brand’s customers before choosing creators or partners.</x:v>
      </x:c>
      <x:c r="I21" s="40" t="str">
        <x:v>For a film and sports idea around F1, request recent organic viewing, audience geography, and overlap with the brand’s customers before choosing creators or partners.</x:v>
      </x:c>
      <x:c r="J21" s="40" t="str">
        <x:v>For a film and sports idea around F1, request recent organic viewing, audience geography, and overlap with the brand’s customers before choosing creators or partners.</x:v>
      </x:c>
      <x:c r="K21" s="40" t="str">
        <x:v>For a film and sports idea around F1, request recent organic viewing, audience geography, and overlap with the brand’s customers before choosing creators or partners.</x:v>
      </x:c>
      <x:c r="L21" s="40" t="str">
        <x:v>For a film and sports idea around F1, request recent organic viewing, audience geography, and overlap with the brand’s customers before choosing creators or partners.</x:v>
      </x:c>
      <x:c r="M21" s="40" t="str">
        <x:v>For a film and sports idea around F1, request recent organic viewing, audience geography, and overlap with the brand’s customers before choosing creators or partners.</x:v>
      </x:c>
    </x:row>
    <x:row r="22" ht="24" customHeight="1">
      <x:c r="B22" s="2"/>
      <x:c r="C22" s="2"/>
      <x:c r="D22" s="2"/>
      <x:c r="E22" s="2"/>
      <x:c r="F22" s="2"/>
      <x:c r="G22" s="2"/>
      <x:c r="H22" s="40" t="str">
        <x:v>For a film and sports idea around F1, request recent organic viewing, audience geography, and overlap with the brand’s customers before choosing creators or partners.</x:v>
      </x:c>
      <x:c r="I22" s="40" t="str">
        <x:v>For a film and sports idea around F1, request recent organic viewing, audience geography, and overlap with the brand’s customers before choosing creators or partners.</x:v>
      </x:c>
      <x:c r="J22" s="40" t="str">
        <x:v>For a film and sports idea around F1, request recent organic viewing, audience geography, and overlap with the brand’s customers before choosing creators or partners.</x:v>
      </x:c>
      <x:c r="K22" s="40" t="str">
        <x:v>For a film and sports idea around F1, request recent organic viewing, audience geography, and overlap with the brand’s customers before choosing creators or partners.</x:v>
      </x:c>
      <x:c r="L22" s="40" t="str">
        <x:v>For a film and sports idea around F1, request recent organic viewing, audience geography, and overlap with the brand’s customers before choosing creators or partners.</x:v>
      </x:c>
      <x:c r="M22" s="40" t="str">
        <x:v>For a film and sports idea around F1, request recent organic viewing, audience geography, and overlap with the brand’s customers before choosing creators or partners.</x:v>
      </x:c>
    </x:row>
    <x:row r="23" ht="24" customHeight="1">
      <x:c r="B23" s="2"/>
      <x:c r="C23" s="2"/>
      <x:c r="D23" s="2"/>
      <x:c r="E23" s="2"/>
      <x:c r="F23" s="2"/>
      <x:c r="G23" s="2"/>
      <x:c r="H23" s="40" t="str">
        <x:v>For a film and sports idea around F1, request recent organic viewing, audience geography, and overlap with the brand’s customers before choosing creators or partners.</x:v>
      </x:c>
      <x:c r="I23" s="40" t="str">
        <x:v>For a film and sports idea around F1, request recent organic viewing, audience geography, and overlap with the brand’s customers before choosing creators or partners.</x:v>
      </x:c>
      <x:c r="J23" s="40" t="str">
        <x:v>For a film and sports idea around F1, request recent organic viewing, audience geography, and overlap with the brand’s customers before choosing creators or partners.</x:v>
      </x:c>
      <x:c r="K23" s="40" t="str">
        <x:v>For a film and sports idea around F1, request recent organic viewing, audience geography, and overlap with the brand’s customers before choosing creators or partners.</x:v>
      </x:c>
      <x:c r="L23" s="40" t="str">
        <x:v>For a film and sports idea around F1, request recent organic viewing, audience geography, and overlap with the brand’s customers before choosing creators or partners.</x:v>
      </x:c>
      <x:c r="M23" s="40" t="str">
        <x:v>For a film and sports idea around F1, request recent organic viewing, audience geography, and overlap with the brand’s customers before choosing creators or partners.</x:v>
      </x:c>
    </x:row>
    <x:row r="24" ht="24" customHeight="1">
      <x:c r="B24" s="2"/>
      <x:c r="C24" s="2"/>
      <x:c r="D24" s="2"/>
      <x:c r="E24" s="2"/>
      <x:c r="F24" s="2"/>
      <x:c r="G24" s="2"/>
      <x:c r="H24" s="40" t="str">
        <x:v>For a film and sports idea around F1, request recent organic viewing, audience geography, and overlap with the brand’s customers before choosing creators or partners.</x:v>
      </x:c>
      <x:c r="I24" s="40" t="str">
        <x:v>For a film and sports idea around F1, request recent organic viewing, audience geography, and overlap with the brand’s customers before choosing creators or partners.</x:v>
      </x:c>
      <x:c r="J24" s="40" t="str">
        <x:v>For a film and sports idea around F1, request recent organic viewing, audience geography, and overlap with the brand’s customers before choosing creators or partners.</x:v>
      </x:c>
      <x:c r="K24" s="40" t="str">
        <x:v>For a film and sports idea around F1, request recent organic viewing, audience geography, and overlap with the brand’s customers before choosing creators or partners.</x:v>
      </x:c>
      <x:c r="L24" s="40" t="str">
        <x:v>For a film and sports idea around F1, request recent organic viewing, audience geography, and overlap with the brand’s customers before choosing creators or partners.</x:v>
      </x:c>
      <x:c r="M24" s="40" t="str">
        <x:v>For a film and sports idea around F1, request recent organic viewing, audience geography, and overlap with the brand’s customers before choosing creators or partners.</x:v>
      </x:c>
    </x:row>
    <x:row r="25" ht="24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B26" s="2"/>
      <x:c r="C26" s="2"/>
      <x:c r="D26" s="2"/>
      <x:c r="E26" s="2"/>
      <x:c r="F26" s="2"/>
      <x:c r="G26" s="2"/>
      <x:c r="H26" s="47" t="str">
        <x:v>Views count plays rather than unique people. These records do not show watch time, geography, demographics, sentiment, paid/organic split, conversion or monetization.</x:v>
      </x:c>
      <x:c r="I26" s="47" t="str">
        <x:v>Views count plays rather than unique people. These records do not show watch time, geography, demographics, sentiment, paid/organic split, conversion or monetization.</x:v>
      </x:c>
      <x:c r="J26" s="47" t="str">
        <x:v>Views count plays rather than unique people. These records do not show watch time, geography, demographics, sentiment, paid/organic split, conversion or monetization.</x:v>
      </x:c>
      <x:c r="K26" s="47" t="str">
        <x:v>Views count plays rather than unique people. These records do not show watch time, geography, demographics, sentiment, paid/organic split, conversion or monetization.</x:v>
      </x:c>
      <x:c r="L26" s="47" t="str">
        <x:v>Views count plays rather than unique people. These records do not show watch time, geography, demographics, sentiment, paid/organic split, conversion or monetization.</x:v>
      </x:c>
      <x:c r="M26" s="47" t="str">
        <x:v>Views count plays rather than unique people. These records do not show watch time, geography, demographics, sentiment, paid/organic split, conversion or monetization.</x:v>
      </x:c>
    </x:row>
    <x:row r="27" ht="24" customHeight="1">
      <x:c r="B27" s="2"/>
      <x:c r="C27" s="2"/>
      <x:c r="D27" s="2"/>
      <x:c r="E27" s="2"/>
      <x:c r="F27" s="2"/>
      <x:c r="G27" s="2"/>
      <x:c r="H27" s="47" t="str">
        <x:v>Views count plays rather than unique people. These records do not show watch time, geography, demographics, sentiment, paid/organic split, conversion or monetization.</x:v>
      </x:c>
      <x:c r="I27" s="47" t="str">
        <x:v>Views count plays rather than unique people. These records do not show watch time, geography, demographics, sentiment, paid/organic split, conversion or monetization.</x:v>
      </x:c>
      <x:c r="J27" s="47" t="str">
        <x:v>Views count plays rather than unique people. These records do not show watch time, geography, demographics, sentiment, paid/organic split, conversion or monetization.</x:v>
      </x:c>
      <x:c r="K27" s="47" t="str">
        <x:v>Views count plays rather than unique people. These records do not show watch time, geography, demographics, sentiment, paid/organic split, conversion or monetization.</x:v>
      </x:c>
      <x:c r="L27" s="47" t="str">
        <x:v>Views count plays rather than unique people. These records do not show watch time, geography, demographics, sentiment, paid/organic split, conversion or monetization.</x:v>
      </x:c>
      <x:c r="M27" s="47" t="str">
        <x:v>Views count plays rather than unique people. These records do not show watch time, geography, demographics, sentiment, paid/organic split, conversion or monetization.</x:v>
      </x:c>
    </x:row>
    <x:row r="28" ht="24" customHeight="1">
      <x:c r="B28" s="2"/>
      <x:c r="C28" s="2"/>
      <x:c r="D28" s="2"/>
      <x:c r="E28" s="2"/>
      <x:c r="F28" s="2"/>
      <x:c r="G28" s="2"/>
      <x:c r="H28" s="47" t="str">
        <x:v>Views count plays rather than unique people. These records do not show watch time, geography, demographics, sentiment, paid/organic split, conversion or monetization.</x:v>
      </x:c>
      <x:c r="I28" s="47" t="str">
        <x:v>Views count plays rather than unique people. These records do not show watch time, geography, demographics, sentiment, paid/organic split, conversion or monetization.</x:v>
      </x:c>
      <x:c r="J28" s="47" t="str">
        <x:v>Views count plays rather than unique people. These records do not show watch time, geography, demographics, sentiment, paid/organic split, conversion or monetization.</x:v>
      </x:c>
      <x:c r="K28" s="47" t="str">
        <x:v>Views count plays rather than unique people. These records do not show watch time, geography, demographics, sentiment, paid/organic split, conversion or monetization.</x:v>
      </x:c>
      <x:c r="L28" s="47" t="str">
        <x:v>Views count plays rather than unique people. These records do not show watch time, geography, demographics, sentiment, paid/organic split, conversion or monetization.</x:v>
      </x:c>
      <x:c r="M28" s="47" t="str">
        <x:v>Views count plays rather than unique people. These records do not show watch time, geography, demographics, sentiment, paid/organic split, conversion or monetization.</x:v>
      </x:c>
    </x:row>
    <x:row r="29" ht="24" customHeight="1">
      <x:c r="B29" s="2"/>
      <x:c r="C29" s="2"/>
      <x:c r="D29" s="2"/>
      <x:c r="E29" s="2"/>
      <x:c r="F29" s="2"/>
      <x:c r="G29" s="2"/>
      <x:c r="H29" s="47" t="str">
        <x:v>Views count plays rather than unique people. These records do not show watch time, geography, demographics, sentiment, paid/organic split, conversion or monetization.</x:v>
      </x:c>
      <x:c r="I29" s="47" t="str">
        <x:v>Views count plays rather than unique people. These records do not show watch time, geography, demographics, sentiment, paid/organic split, conversion or monetization.</x:v>
      </x:c>
      <x:c r="J29" s="47" t="str">
        <x:v>Views count plays rather than unique people. These records do not show watch time, geography, demographics, sentiment, paid/organic split, conversion or monetization.</x:v>
      </x:c>
      <x:c r="K29" s="47" t="str">
        <x:v>Views count plays rather than unique people. These records do not show watch time, geography, demographics, sentiment, paid/organic split, conversion or monetization.</x:v>
      </x:c>
      <x:c r="L29" s="47" t="str">
        <x:v>Views count plays rather than unique people. These records do not show watch time, geography, demographics, sentiment, paid/organic split, conversion or monetization.</x:v>
      </x:c>
      <x:c r="M29" s="47" t="str">
        <x:v>Views count plays rather than unique people. These records do not show watch time, geography, demographics, sentiment, paid/organic split, conversion or monetization.</x:v>
      </x:c>
    </x:row>
    <x:row r="30" ht="24" customHeight="1">
      <x:c r="B30" s="2"/>
      <x:c r="C30" s="2"/>
      <x:c r="D30" s="2"/>
      <x:c r="E30" s="2"/>
      <x:c r="F30" s="2"/>
      <x:c r="G30" s="2"/>
      <x:c r="H30" s="47" t="str">
        <x:v>Views count plays rather than unique people. These records do not show watch time, geography, demographics, sentiment, paid/organic split, conversion or monetization.</x:v>
      </x:c>
      <x:c r="I30" s="47" t="str">
        <x:v>Views count plays rather than unique people. These records do not show watch time, geography, demographics, sentiment, paid/organic split, conversion or monetization.</x:v>
      </x:c>
      <x:c r="J30" s="47" t="str">
        <x:v>Views count plays rather than unique people. These records do not show watch time, geography, demographics, sentiment, paid/organic split, conversion or monetization.</x:v>
      </x:c>
      <x:c r="K30" s="47" t="str">
        <x:v>Views count plays rather than unique people. These records do not show watch time, geography, demographics, sentiment, paid/organic split, conversion or monetization.</x:v>
      </x:c>
      <x:c r="L30" s="47" t="str">
        <x:v>Views count plays rather than unique people. These records do not show watch time, geography, demographics, sentiment, paid/organic split, conversion or monetization.</x:v>
      </x:c>
      <x:c r="M30" s="47" t="str">
        <x:v>Views count plays rather than unique people. These records do not show watch time, geography, demographics, sentiment, paid/organic split, conversion or monetization.</x:v>
      </x:c>
    </x:row>
    <x:row r="31" ht="24" customHeight="1">
      <x:c r="B31" s="2"/>
      <x:c r="C31" s="2"/>
      <x:c r="D31" s="2"/>
      <x:c r="E31" s="2"/>
      <x:c r="F31" s="2"/>
      <x:c r="G31" s="2"/>
      <x:c r="H31" s="47" t="str">
        <x:v>Views count plays rather than unique people. These records do not show watch time, geography, demographics, sentiment, paid/organic split, conversion or monetization.</x:v>
      </x:c>
      <x:c r="I31" s="47" t="str">
        <x:v>Views count plays rather than unique people. These records do not show watch time, geography, demographics, sentiment, paid/organic split, conversion or monetization.</x:v>
      </x:c>
      <x:c r="J31" s="47" t="str">
        <x:v>Views count plays rather than unique people. These records do not show watch time, geography, demographics, sentiment, paid/organic split, conversion or monetization.</x:v>
      </x:c>
      <x:c r="K31" s="47" t="str">
        <x:v>Views count plays rather than unique people. These records do not show watch time, geography, demographics, sentiment, paid/organic split, conversion or monetization.</x:v>
      </x:c>
      <x:c r="L31" s="47" t="str">
        <x:v>Views count plays rather than unique people. These records do not show watch time, geography, demographics, sentiment, paid/organic split, conversion or monetization.</x:v>
      </x:c>
      <x:c r="M31" s="47" t="str">
        <x:v>Views count plays rather than unique people. These records do not show watch time, geography, demographics, sentiment, paid/organic split, conversion or monetization.</x:v>
      </x:c>
    </x:row>
    <x:row r="32" ht="24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4" customHeight="1">
      <x:c r="B34" s="59" t="str">
        <x:v>Original official uploads</x:v>
      </x:c>
      <x:c r="C34" s="58" t="str">
        <x:v>Original official uploads</x:v>
      </x:c>
      <x:c r="D34" s="58" t="str">
        <x:v>Original official uploads</x:v>
      </x:c>
      <x:c r="E34" s="58" t="str">
        <x:v>Original official uploads</x:v>
      </x:c>
      <x:c r="F34" s="58" t="str">
        <x:v>Original official uploads</x:v>
      </x:c>
      <x:c r="G34" s="58" t="str">
        <x:v>Original official uploads</x:v>
      </x:c>
      <x:c r="H34" s="58" t="str">
        <x:v>Original official uploads</x:v>
      </x:c>
      <x:c r="I34" s="58" t="str">
        <x:v>Original official uploads</x:v>
      </x:c>
      <x:c r="J34" s="58" t="str">
        <x:v>Original official uploads</x:v>
      </x:c>
      <x:c r="K34" s="58" t="str">
        <x:v>Original official uploads</x:v>
      </x:c>
      <x:c r="L34" s="58" t="str">
        <x:v>Original official uploads</x:v>
      </x:c>
      <x:c r="M34" s="58" t="str">
        <x:v>Original official uploads</x:v>
      </x:c>
    </x:row>
    <x:row r="35" ht="24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B36" s="60" t="str">
        <x:v>F1: The Movie — https://www.youtube.com/watch?v=CT2_P2DZBR0</x:v>
      </x:c>
      <x:c r="C36" s="60" t="str">
        <x:v>F1: The Movie — https://www.youtube.com/watch?v=CT2_P2DZBR0</x:v>
      </x:c>
      <x:c r="D36" s="60" t="str">
        <x:v>F1: The Movie — https://www.youtube.com/watch?v=CT2_P2DZBR0</x:v>
      </x:c>
      <x:c r="E36" s="60" t="str">
        <x:v>F1: The Movie — https://www.youtube.com/watch?v=CT2_P2DZBR0</x:v>
      </x:c>
      <x:c r="F36" s="60" t="str">
        <x:v>F1: The Movie — https://www.youtube.com/watch?v=CT2_P2DZBR0</x:v>
      </x:c>
      <x:c r="G36" s="60" t="str">
        <x:v>F1: The Movie — https://www.youtube.com/watch?v=CT2_P2DZBR0</x:v>
      </x:c>
      <x:c r="H36" s="60" t="str">
        <x:v>F1: The Movie — https://www.youtube.com/watch?v=CT2_P2DZBR0</x:v>
      </x:c>
      <x:c r="I36" s="60" t="str">
        <x:v>F1: The Movie — https://www.youtube.com/watch?v=CT2_P2DZBR0</x:v>
      </x:c>
      <x:c r="J36" s="60" t="str">
        <x:v>F1: The Movie — https://www.youtube.com/watch?v=CT2_P2DZBR0</x:v>
      </x:c>
      <x:c r="K36" s="60" t="str">
        <x:v>F1: The Movie — https://www.youtube.com/watch?v=CT2_P2DZBR0</x:v>
      </x:c>
      <x:c r="L36" s="60" t="str">
        <x:v>F1: The Movie — https://www.youtube.com/watch?v=CT2_P2DZBR0</x:v>
      </x:c>
      <x:c r="M36" s="60" t="str">
        <x:v>F1: The Movie — https://www.youtube.com/watch?v=CT2_P2DZBR0</x:v>
      </x:c>
    </x:row>
    <x:row r="37" ht="24" customHeight="1">
      <x:c r="B37" s="60" t="str">
        <x:v>F1: The Movie — https://www.youtube.com/watch?v=CT2_P2DZBR0</x:v>
      </x:c>
      <x:c r="C37" s="60" t="str">
        <x:v>F1: The Movie — https://www.youtube.com/watch?v=CT2_P2DZBR0</x:v>
      </x:c>
      <x:c r="D37" s="60" t="str">
        <x:v>F1: The Movie — https://www.youtube.com/watch?v=CT2_P2DZBR0</x:v>
      </x:c>
      <x:c r="E37" s="60" t="str">
        <x:v>F1: The Movie — https://www.youtube.com/watch?v=CT2_P2DZBR0</x:v>
      </x:c>
      <x:c r="F37" s="60" t="str">
        <x:v>F1: The Movie — https://www.youtube.com/watch?v=CT2_P2DZBR0</x:v>
      </x:c>
      <x:c r="G37" s="60" t="str">
        <x:v>F1: The Movie — https://www.youtube.com/watch?v=CT2_P2DZBR0</x:v>
      </x:c>
      <x:c r="H37" s="60" t="str">
        <x:v>F1: The Movie — https://www.youtube.com/watch?v=CT2_P2DZBR0</x:v>
      </x:c>
      <x:c r="I37" s="60" t="str">
        <x:v>F1: The Movie — https://www.youtube.com/watch?v=CT2_P2DZBR0</x:v>
      </x:c>
      <x:c r="J37" s="60" t="str">
        <x:v>F1: The Movie — https://www.youtube.com/watch?v=CT2_P2DZBR0</x:v>
      </x:c>
      <x:c r="K37" s="60" t="str">
        <x:v>F1: The Movie — https://www.youtube.com/watch?v=CT2_P2DZBR0</x:v>
      </x:c>
      <x:c r="L37" s="60" t="str">
        <x:v>F1: The Movie — https://www.youtube.com/watch?v=CT2_P2DZBR0</x:v>
      </x:c>
      <x:c r="M37" s="60" t="str">
        <x:v>F1: The Movie — https://www.youtube.com/watch?v=CT2_P2DZBR0</x:v>
      </x:c>
    </x:row>
    <x:row r="38" ht="24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B39" s="60" t="str">
        <x:v>28 Years Later — https://www.youtube.com/watch?v=mcvLKldPM08</x:v>
      </x:c>
      <x:c r="C39" s="60" t="str">
        <x:v>28 Years Later — https://www.youtube.com/watch?v=mcvLKldPM08</x:v>
      </x:c>
      <x:c r="D39" s="60" t="str">
        <x:v>28 Years Later — https://www.youtube.com/watch?v=mcvLKldPM08</x:v>
      </x:c>
      <x:c r="E39" s="60" t="str">
        <x:v>28 Years Later — https://www.youtube.com/watch?v=mcvLKldPM08</x:v>
      </x:c>
      <x:c r="F39" s="60" t="str">
        <x:v>28 Years Later — https://www.youtube.com/watch?v=mcvLKldPM08</x:v>
      </x:c>
      <x:c r="G39" s="60" t="str">
        <x:v>28 Years Later — https://www.youtube.com/watch?v=mcvLKldPM08</x:v>
      </x:c>
      <x:c r="H39" s="60" t="str">
        <x:v>28 Years Later — https://www.youtube.com/watch?v=mcvLKldPM08</x:v>
      </x:c>
      <x:c r="I39" s="60" t="str">
        <x:v>28 Years Later — https://www.youtube.com/watch?v=mcvLKldPM08</x:v>
      </x:c>
      <x:c r="J39" s="60" t="str">
        <x:v>28 Years Later — https://www.youtube.com/watch?v=mcvLKldPM08</x:v>
      </x:c>
      <x:c r="K39" s="60" t="str">
        <x:v>28 Years Later — https://www.youtube.com/watch?v=mcvLKldPM08</x:v>
      </x:c>
      <x:c r="L39" s="60" t="str">
        <x:v>28 Years Later — https://www.youtube.com/watch?v=mcvLKldPM08</x:v>
      </x:c>
      <x:c r="M39" s="60" t="str">
        <x:v>28 Years Later — https://www.youtube.com/watch?v=mcvLKldPM08</x:v>
      </x:c>
    </x:row>
    <x:row r="40" ht="24" customHeight="1">
      <x:c r="B40" s="60" t="str">
        <x:v>28 Years Later — https://www.youtube.com/watch?v=mcvLKldPM08</x:v>
      </x:c>
      <x:c r="C40" s="60" t="str">
        <x:v>28 Years Later — https://www.youtube.com/watch?v=mcvLKldPM08</x:v>
      </x:c>
      <x:c r="D40" s="60" t="str">
        <x:v>28 Years Later — https://www.youtube.com/watch?v=mcvLKldPM08</x:v>
      </x:c>
      <x:c r="E40" s="60" t="str">
        <x:v>28 Years Later — https://www.youtube.com/watch?v=mcvLKldPM08</x:v>
      </x:c>
      <x:c r="F40" s="60" t="str">
        <x:v>28 Years Later — https://www.youtube.com/watch?v=mcvLKldPM08</x:v>
      </x:c>
      <x:c r="G40" s="60" t="str">
        <x:v>28 Years Later — https://www.youtube.com/watch?v=mcvLKldPM08</x:v>
      </x:c>
      <x:c r="H40" s="60" t="str">
        <x:v>28 Years Later — https://www.youtube.com/watch?v=mcvLKldPM08</x:v>
      </x:c>
      <x:c r="I40" s="60" t="str">
        <x:v>28 Years Later — https://www.youtube.com/watch?v=mcvLKldPM08</x:v>
      </x:c>
      <x:c r="J40" s="60" t="str">
        <x:v>28 Years Later — https://www.youtube.com/watch?v=mcvLKldPM08</x:v>
      </x:c>
      <x:c r="K40" s="60" t="str">
        <x:v>28 Years Later — https://www.youtube.com/watch?v=mcvLKldPM08</x:v>
      </x:c>
      <x:c r="L40" s="60" t="str">
        <x:v>28 Years Later — https://www.youtube.com/watch?v=mcvLKldPM08</x:v>
      </x:c>
      <x:c r="M40" s="60" t="str">
        <x:v>28 Years Later — https://www.youtube.com/watch?v=mcvLKldPM08</x:v>
      </x:c>
    </x:row>
    <x:row r="41" ht="24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4" customHeight="1">
      <x:c r="B42" s="61" t="str">
        <x:v>Selected two-upload snapshot. Other trailers, regional versions, reuploads and platforms are excluded. Do not use these counts as predictors of the 2025 box office results.</x:v>
      </x:c>
      <x:c r="C42" s="61" t="str">
        <x:v>Selected two-upload snapshot. Other trailers, regional versions, reuploads and platforms are excluded. Do not use these counts as predictors of the 2025 box office results.</x:v>
      </x:c>
      <x:c r="D42" s="61" t="str">
        <x:v>Selected two-upload snapshot. Other trailers, regional versions, reuploads and platforms are excluded. Do not use these counts as predictors of the 2025 box office results.</x:v>
      </x:c>
      <x:c r="E42" s="61" t="str">
        <x:v>Selected two-upload snapshot. Other trailers, regional versions, reuploads and platforms are excluded. Do not use these counts as predictors of the 2025 box office results.</x:v>
      </x:c>
      <x:c r="F42" s="61" t="str">
        <x:v>Selected two-upload snapshot. Other trailers, regional versions, reuploads and platforms are excluded. Do not use these counts as predictors of the 2025 box office results.</x:v>
      </x:c>
      <x:c r="G42" s="61" t="str">
        <x:v>Selected two-upload snapshot. Other trailers, regional versions, reuploads and platforms are excluded. Do not use these counts as predictors of the 2025 box office results.</x:v>
      </x:c>
      <x:c r="H42" s="61" t="str">
        <x:v>Selected two-upload snapshot. Other trailers, regional versions, reuploads and platforms are excluded. Do not use these counts as predictors of the 2025 box office results.</x:v>
      </x:c>
      <x:c r="I42" s="61" t="str">
        <x:v>Selected two-upload snapshot. Other trailers, regional versions, reuploads and platforms are excluded. Do not use these counts as predictors of the 2025 box office results.</x:v>
      </x:c>
      <x:c r="J42" s="61" t="str">
        <x:v>Selected two-upload snapshot. Other trailers, regional versions, reuploads and platforms are excluded. Do not use these counts as predictors of the 2025 box office results.</x:v>
      </x:c>
      <x:c r="K42" s="61" t="str">
        <x:v>Selected two-upload snapshot. Other trailers, regional versions, reuploads and platforms are excluded. Do not use these counts as predictors of the 2025 box office results.</x:v>
      </x:c>
      <x:c r="L42" s="61" t="str">
        <x:v>Selected two-upload snapshot. Other trailers, regional versions, reuploads and platforms are excluded. Do not use these counts as predictors of the 2025 box office results.</x:v>
      </x:c>
      <x:c r="M42" s="61" t="str">
        <x:v>Selected two-upload snapshot. Other trailers, regional versions, reuploads and platforms are excluded. Do not use these counts as predictors of the 2025 box office results.</x:v>
      </x:c>
    </x:row>
    <x:row r="43" ht="24" customHeight="1">
      <x:c r="B43" s="61" t="str">
        <x:v>Selected two-upload snapshot. Other trailers, regional versions, reuploads and platforms are excluded. Do not use these counts as predictors of the 2025 box office results.</x:v>
      </x:c>
      <x:c r="C43" s="61" t="str">
        <x:v>Selected two-upload snapshot. Other trailers, regional versions, reuploads and platforms are excluded. Do not use these counts as predictors of the 2025 box office results.</x:v>
      </x:c>
      <x:c r="D43" s="61" t="str">
        <x:v>Selected two-upload snapshot. Other trailers, regional versions, reuploads and platforms are excluded. Do not use these counts as predictors of the 2025 box office results.</x:v>
      </x:c>
      <x:c r="E43" s="61" t="str">
        <x:v>Selected two-upload snapshot. Other trailers, regional versions, reuploads and platforms are excluded. Do not use these counts as predictors of the 2025 box office results.</x:v>
      </x:c>
      <x:c r="F43" s="61" t="str">
        <x:v>Selected two-upload snapshot. Other trailers, regional versions, reuploads and platforms are excluded. Do not use these counts as predictors of the 2025 box office results.</x:v>
      </x:c>
      <x:c r="G43" s="61" t="str">
        <x:v>Selected two-upload snapshot. Other trailers, regional versions, reuploads and platforms are excluded. Do not use these counts as predictors of the 2025 box office results.</x:v>
      </x:c>
      <x:c r="H43" s="61" t="str">
        <x:v>Selected two-upload snapshot. Other trailers, regional versions, reuploads and platforms are excluded. Do not use these counts as predictors of the 2025 box office results.</x:v>
      </x:c>
      <x:c r="I43" s="61" t="str">
        <x:v>Selected two-upload snapshot. Other trailers, regional versions, reuploads and platforms are excluded. Do not use these counts as predictors of the 2025 box office results.</x:v>
      </x:c>
      <x:c r="J43" s="61" t="str">
        <x:v>Selected two-upload snapshot. Other trailers, regional versions, reuploads and platforms are excluded. Do not use these counts as predictors of the 2025 box office results.</x:v>
      </x:c>
      <x:c r="K43" s="61" t="str">
        <x:v>Selected two-upload snapshot. Other trailers, regional versions, reuploads and platforms are excluded. Do not use these counts as predictors of the 2025 box office results.</x:v>
      </x:c>
      <x:c r="L43" s="61" t="str">
        <x:v>Selected two-upload snapshot. Other trailers, regional versions, reuploads and platforms are excluded. Do not use these counts as predictors of the 2025 box office results.</x:v>
      </x:c>
      <x:c r="M43" s="61" t="str">
        <x:v>Selected two-upload snapshot. Other trailers, regional versions, reuploads and platforms are excluded. Do not use these counts as predictors of the 2025 box office results.</x:v>
      </x:c>
    </x:row>
  </x:sheetData>
  <x:mergeCells>
    <x:mergeCell ref="B2:M2"/>
    <x:mergeCell ref="B4:M6"/>
    <x:mergeCell ref="B13:F15"/>
    <x:mergeCell ref="H18:M18"/>
    <x:mergeCell ref="H20:M24"/>
    <x:mergeCell ref="H26:M31"/>
    <x:mergeCell ref="B34:M34"/>
    <x:mergeCell ref="B36:M37"/>
    <x:mergeCell ref="B39:M40"/>
    <x:mergeCell ref="B42:M43"/>
  </x:mergeCells>
  <x:pageMargins left="0.7" right="0.7" top="0.75" bottom="0.75" header="0.3" footer="0.3"/>
  <x:drawing xmlns:r="http://schemas.openxmlformats.org/officeDocument/2006/relationships" r:id="R23f46b159b254270"/>
</x:worksheet>
</file>